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ull Sheet" sheetId="1" state="visible" r:id="rId1"/>
    <sheet name="Spares" sheetId="2" state="visible" r:id="rId2"/>
    <sheet name="TOTALS" sheetId="3" state="visible" r:id="rId3"/>
    <sheet name="GEAR LIST" sheetId="4" state="visible" r:id="rId4"/>
    <sheet name="READ ME" sheetId="5" state="visible" r:id="rId5"/>
    <sheet name="calc" sheetId="6" state="hidden" r:id="rId6"/>
  </sheets>
  <definedNames>
    <definedName name="NEW_BLOCK_TEMPLATE">'Pull Sheet'!$S$5:$W$36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27">
    <font>
      <name val="Calibri"/>
      <color theme="1"/>
      <sz val="11"/>
      <scheme val="minor"/>
    </font>
    <font>
      <name val="Arial"/>
      <b val="1"/>
      <color rgb="FF0E7C66"/>
      <sz val="18"/>
    </font>
    <font>
      <name val="Arial"/>
      <b val="1"/>
      <color rgb="FF1F3A5F"/>
      <sz val="20"/>
    </font>
    <font>
      <name val="Arial"/>
      <b val="1"/>
      <color rgb="FF0E7C66"/>
      <sz val="20"/>
    </font>
    <font>
      <name val="Calibri"/>
      <color theme="1"/>
      <sz val="11"/>
    </font>
    <font>
      <name val="Arial"/>
      <color rgb="FF55606B"/>
      <sz val="10"/>
    </font>
    <font>
      <name val="Arial"/>
      <b val="1"/>
      <color rgb="FFFFFFFF"/>
      <sz val="11"/>
    </font>
    <font>
      <name val="Arial"/>
      <b val="1"/>
      <color rgb="FF55606B"/>
      <sz val="10"/>
    </font>
    <font>
      <name val="Arial"/>
      <b val="1"/>
      <color rgb="FF1F2A37"/>
      <sz val="12"/>
    </font>
    <font>
      <name val="Arial"/>
      <b val="1"/>
      <color rgb="FF1F2A37"/>
      <sz val="11"/>
    </font>
    <font>
      <name val="Arial"/>
      <b val="1"/>
      <color rgb="FF0E7C66"/>
      <sz val="14"/>
    </font>
    <font/>
    <font>
      <name val="Arial"/>
      <color rgb="FF1F2A37"/>
      <sz val="11"/>
    </font>
    <font>
      <name val="Arial"/>
      <b val="1"/>
      <color rgb="FFFFFFFF"/>
      <sz val="13"/>
    </font>
    <font>
      <name val="Arial"/>
      <color rgb="FFFFFFFF"/>
      <sz val="9"/>
    </font>
    <font>
      <name val="Arial"/>
      <b val="1"/>
      <color rgb="FF1F2A37"/>
      <sz val="13"/>
    </font>
    <font>
      <name val="Arial"/>
      <color rgb="FF1F2A37"/>
      <sz val="9"/>
    </font>
    <font>
      <name val="Arial"/>
      <color rgb="FF111517"/>
      <sz val="11"/>
    </font>
    <font>
      <name val="Arial"/>
      <b val="1"/>
      <color rgb="FFFFFFFF"/>
      <sz val="12"/>
    </font>
    <font>
      <name val="Arial"/>
      <b val="1"/>
      <color rgb="FF1F3A5F"/>
      <sz val="16"/>
    </font>
    <font>
      <name val="Arial"/>
      <color rgb="FF333A42"/>
      <sz val="11"/>
    </font>
    <font>
      <name val="Arial"/>
      <b val="1"/>
      <color rgb="FF0E7C66"/>
      <sz val="12"/>
    </font>
    <font>
      <name val="Arial"/>
      <color rgb="FF1F2A37"/>
      <sz val="10"/>
    </font>
    <font>
      <name val="Arial"/>
      <b val="1"/>
      <color rgb="FF1F2A37"/>
      <sz val="10"/>
    </font>
    <font>
      <name val="Arial"/>
      <b val="1"/>
      <color rgb="FFB00000"/>
      <sz val="10"/>
    </font>
    <font>
      <name val="Arial"/>
      <color rgb="FF55606B"/>
      <sz val="9"/>
    </font>
    <font>
      <name val="Arial"/>
      <color rgb="FF888888"/>
      <sz val="9"/>
    </font>
  </fonts>
  <fills count="10">
    <fill>
      <patternFill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7CC"/>
        <bgColor rgb="FFFFF7CC"/>
      </patternFill>
    </fill>
    <fill>
      <patternFill patternType="solid">
        <fgColor rgb="FFE9F3EE"/>
        <bgColor rgb="FFE9F3EE"/>
      </patternFill>
    </fill>
    <fill>
      <patternFill patternType="solid">
        <fgColor rgb="FF2E6F9E"/>
        <bgColor rgb="FF2E6F9E"/>
      </patternFill>
    </fill>
    <fill>
      <patternFill patternType="solid">
        <fgColor rgb="FFFBE9D0"/>
        <bgColor rgb="FFFBE9D0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  <fill>
      <patternFill patternType="solid">
        <fgColor rgb="FF0E7C66"/>
        <bgColor rgb="FF0E7C66"/>
      </patternFill>
    </fill>
  </fills>
  <borders count="11">
    <border/>
    <border>
      <left style="thin">
        <color rgb="FFC7CED6"/>
      </left>
      <right style="thin">
        <color rgb="FFC7CED6"/>
      </right>
      <top style="thin">
        <color rgb="FFC7CED6"/>
      </top>
      <bottom style="thin">
        <color rgb="FFC7CED6"/>
      </bottom>
    </border>
    <border>
      <left style="thin">
        <color rgb="FFC7CED6"/>
      </left>
      <top style="thin">
        <color rgb="FFC7CED6"/>
      </top>
      <bottom style="thin">
        <color rgb="FFC7CED6"/>
      </bottom>
    </border>
    <border>
      <right/>
      <top style="thin">
        <color rgb="FFC7CED6"/>
      </top>
      <bottom style="thin">
        <color rgb="FFC7CED6"/>
      </bottom>
    </border>
    <border>
      <left/>
      <top/>
      <bottom/>
    </border>
    <border>
      <right/>
      <top/>
      <bottom/>
    </border>
    <border>
      <top/>
      <bottom/>
    </border>
    <border>
      <left/>
      <right/>
      <top/>
      <bottom/>
    </border>
    <border>
      <left style="thin">
        <color rgb="FFC7CED6"/>
      </left>
      <right/>
      <top style="thin">
        <color rgb="FFC7CED6"/>
      </top>
      <bottom style="thin">
        <color rgb="FFC7CED6"/>
      </bottom>
    </border>
    <border>
      <top style="thin">
        <color rgb="FFC7CED6"/>
      </top>
    </border>
    <border>
      <top style="thin">
        <color rgb="FFC7CED6"/>
      </top>
      <bottom style="thin">
        <color rgb="FFC7CED6"/>
      </bottom>
    </border>
  </borders>
  <cellStyleXfs count="1">
    <xf numFmtId="0" fontId="0" fillId="0" borderId="0"/>
  </cellStyleXfs>
  <cellXfs count="7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bottom"/>
    </xf>
    <xf numFmtId="0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9" fillId="3" borderId="2" applyAlignment="1" pivotButton="0" quotePrefix="0" xfId="0">
      <alignment vertical="bottom"/>
    </xf>
    <xf numFmtId="9" fontId="10" fillId="3" borderId="1" applyAlignment="1" pivotButton="0" quotePrefix="0" xfId="0">
      <alignment horizontal="center" vertical="center"/>
    </xf>
    <xf numFmtId="0" fontId="11" fillId="0" borderId="3" pivotButton="0" quotePrefix="0" xfId="0"/>
    <xf numFmtId="0" fontId="5" fillId="0" borderId="0" applyAlignment="1" pivotButton="0" quotePrefix="0" xfId="0">
      <alignment horizontal="left" vertical="center"/>
    </xf>
    <xf numFmtId="164" fontId="9" fillId="3" borderId="1" applyAlignment="1" pivotButton="0" quotePrefix="0" xfId="0">
      <alignment vertical="bottom"/>
    </xf>
    <xf numFmtId="0" fontId="12" fillId="0" borderId="1" applyAlignment="1" pivotButton="0" quotePrefix="0" xfId="0">
      <alignment vertical="bottom"/>
    </xf>
    <xf numFmtId="0" fontId="12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vertical="bottom"/>
    </xf>
    <xf numFmtId="0" fontId="12" fillId="4" borderId="1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12" fillId="4" borderId="1" applyAlignment="1" pivotButton="0" quotePrefix="0" xfId="0">
      <alignment horizontal="center" vertical="center"/>
    </xf>
    <xf numFmtId="0" fontId="13" fillId="5" borderId="4" applyAlignment="1" pivotButton="0" quotePrefix="0" xfId="0">
      <alignment horizontal="left" vertical="center"/>
    </xf>
    <xf numFmtId="0" fontId="11" fillId="0" borderId="5" pivotButton="0" quotePrefix="0" xfId="0"/>
    <xf numFmtId="0" fontId="14" fillId="5" borderId="4" applyAlignment="1" pivotButton="0" quotePrefix="0" xfId="0">
      <alignment horizontal="right" vertical="center"/>
    </xf>
    <xf numFmtId="0" fontId="11" fillId="0" borderId="6" pivotButton="0" quotePrefix="0" xfId="0"/>
    <xf numFmtId="0" fontId="12" fillId="4" borderId="1" applyAlignment="1" pivotButton="0" quotePrefix="0" xfId="0">
      <alignment vertical="bottom"/>
    </xf>
    <xf numFmtId="0" fontId="15" fillId="6" borderId="4" applyAlignment="1" pivotButton="0" quotePrefix="0" xfId="0">
      <alignment horizontal="left" vertical="center"/>
    </xf>
    <xf numFmtId="0" fontId="4" fillId="0" borderId="1" applyAlignment="1" pivotButton="0" quotePrefix="0" xfId="0">
      <alignment vertical="bottom"/>
    </xf>
    <xf numFmtId="0" fontId="16" fillId="6" borderId="4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bottom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bottom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bottom"/>
    </xf>
    <xf numFmtId="0" fontId="9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bottom"/>
    </xf>
    <xf numFmtId="0" fontId="12" fillId="7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8" fillId="9" borderId="1" applyAlignment="1" pivotButton="0" quotePrefix="0" xfId="0">
      <alignment vertical="bottom"/>
    </xf>
    <xf numFmtId="0" fontId="4" fillId="9" borderId="1" applyAlignment="1" pivotButton="0" quotePrefix="0" xfId="0">
      <alignment vertical="bottom"/>
    </xf>
    <xf numFmtId="0" fontId="18" fillId="9" borderId="1" applyAlignment="1" pivotButton="0" quotePrefix="0" xfId="0">
      <alignment horizontal="center" vertical="center"/>
    </xf>
    <xf numFmtId="0" fontId="19" fillId="0" borderId="0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22" fillId="0" borderId="0" applyAlignment="1" pivotButton="0" quotePrefix="0" xfId="0">
      <alignment vertical="bottom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vertical="bottom"/>
    </xf>
    <xf numFmtId="0" fontId="26" fillId="0" borderId="0" applyAlignment="1" pivotButton="0" quotePrefix="0" xfId="0">
      <alignment vertical="bottom"/>
    </xf>
    <xf numFmtId="0" fontId="0" fillId="0" borderId="0" pivotButton="0" quotePrefix="0" xfId="0"/>
    <xf numFmtId="0" fontId="9" fillId="3" borderId="8" applyAlignment="1" pivotButton="0" quotePrefix="0" xfId="0">
      <alignment vertical="bottom"/>
    </xf>
    <xf numFmtId="0" fontId="0" fillId="0" borderId="10" pivotButton="0" quotePrefix="0" xfId="0"/>
    <xf numFmtId="0" fontId="13" fillId="5" borderId="7" applyAlignment="1" pivotButton="0" quotePrefix="0" xfId="0">
      <alignment horizontal="left" vertical="center"/>
    </xf>
    <xf numFmtId="0" fontId="14" fillId="5" borderId="7" applyAlignment="1" pivotButton="0" quotePrefix="0" xfId="0">
      <alignment horizontal="right" vertical="center"/>
    </xf>
    <xf numFmtId="0" fontId="15" fillId="6" borderId="7" applyAlignment="1" pivotButton="0" quotePrefix="0" xfId="0">
      <alignment horizontal="left" vertical="center"/>
    </xf>
    <xf numFmtId="0" fontId="16" fillId="6" borderId="7" applyAlignment="1" pivotButton="0" quotePrefix="0" xfId="0">
      <alignment horizontal="right" vertical="center"/>
    </xf>
  </cellXfs>
  <cellStyles count="1">
    <cellStyle name="Normal" xfId="0" builtinId="0"/>
  </cellStyles>
  <dxfs count="1">
    <dxf>
      <font>
        <name val="Arial"/>
        <b val="1"/>
        <color rgb="FFB00000"/>
        <sz val="10"/>
      </font>
      <fill>
        <patternFill patternType="solid">
          <fgColor rgb="FFF4C7C3"/>
          <bgColor rgb="FFF4C7C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8" defaultColWidth="14.43" defaultRowHeight="15" customHeight="1"/>
  <cols>
    <col width="26.57" customWidth="1" style="70" min="1" max="1"/>
    <col width="8" customWidth="1" style="70" min="2" max="2"/>
    <col width="6" customWidth="1" style="70" min="3" max="3"/>
    <col width="12" customWidth="1" style="70" min="4" max="4"/>
    <col width="14.14" customWidth="1" style="70" min="5" max="5"/>
    <col width="2" customWidth="1" style="70" min="6" max="6"/>
    <col width="24.29" customWidth="1" style="70" min="7" max="7"/>
    <col width="8" customWidth="1" style="70" min="8" max="8"/>
    <col width="6" customWidth="1" style="70" min="9" max="9"/>
    <col width="19.86" customWidth="1" style="70" min="10" max="10"/>
    <col width="18.71" customWidth="1" style="70" min="11" max="11"/>
    <col width="2" customWidth="1" style="70" min="12" max="12"/>
    <col width="25.86" customWidth="1" style="70" min="13" max="13"/>
    <col width="8" customWidth="1" style="70" min="14" max="14"/>
    <col width="6" customWidth="1" style="70" min="15" max="15"/>
    <col width="25.29" customWidth="1" style="70" min="16" max="16"/>
    <col width="20" customWidth="1" style="70" min="17" max="17"/>
    <col hidden="1" width="2" customWidth="1" style="70" min="18" max="18"/>
    <col hidden="1" width="22" customWidth="1" style="70" min="19" max="19"/>
    <col hidden="1" width="8" customWidth="1" style="70" min="20" max="20"/>
    <col hidden="1" width="6" customWidth="1" style="70" min="21" max="21"/>
    <col hidden="1" width="12" customWidth="1" style="70" min="22" max="22"/>
    <col hidden="1" width="20" customWidth="1" style="70" min="23" max="23"/>
  </cols>
  <sheetData>
    <row r="1" ht="30" customHeight="1" s="70">
      <c r="A1" s="2" t="inlineStr">
        <is>
          <t>LED PULL SHEET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6.5" customHeight="1" s="70">
      <c r="A2" s="8" t="inlineStr">
        <is>
          <t>SHOW:</t>
        </is>
      </c>
      <c r="B2" s="71" t="n"/>
      <c r="C2" s="72" t="n"/>
      <c r="D2" s="8" t="inlineStr">
        <is>
          <t>DATE:</t>
        </is>
      </c>
      <c r="E2" s="1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70">
      <c r="A3" s="8" t="inlineStr">
        <is>
          <t>ENGINEER:</t>
        </is>
      </c>
      <c r="B3" s="71" t="n"/>
      <c r="C3" s="72" t="n"/>
      <c r="D3" s="8" t="inlineStr">
        <is>
          <t>REV:</t>
        </is>
      </c>
      <c r="E3" s="17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70">
      <c r="A5" s="73" t="inlineStr">
        <is>
          <t>POSITION 1</t>
        </is>
      </c>
      <c r="C5" s="74" t="n"/>
      <c r="F5" s="4" t="n"/>
      <c r="G5" s="73" t="inlineStr">
        <is>
          <t>POSITION 2</t>
        </is>
      </c>
      <c r="I5" s="74" t="n"/>
      <c r="L5" s="4" t="n"/>
      <c r="M5" s="73" t="inlineStr">
        <is>
          <t>POSITION 3</t>
        </is>
      </c>
      <c r="O5" s="74" t="n"/>
      <c r="R5" s="4" t="n"/>
      <c r="S5" s="75" t="inlineStr">
        <is>
          <t>NEW POSITION</t>
        </is>
      </c>
      <c r="U5" s="76" t="inlineStr">
        <is>
          <t>&lt; copy to add a position &gt;</t>
        </is>
      </c>
      <c r="X5" s="4" t="n"/>
      <c r="Y5" s="4" t="n"/>
      <c r="Z5" s="4" t="n"/>
    </row>
    <row r="6" ht="15" customHeight="1" s="70">
      <c r="A6" s="7" t="inlineStr">
        <is>
          <t>Cable Type</t>
        </is>
      </c>
      <c r="B6" s="7" t="inlineStr">
        <is>
          <t>Length</t>
        </is>
      </c>
      <c r="C6" s="7" t="inlineStr">
        <is>
          <t>Qty</t>
        </is>
      </c>
      <c r="D6" s="7" t="inlineStr">
        <is>
          <t>Label</t>
        </is>
      </c>
      <c r="E6" s="29" t="inlineStr">
        <is>
          <t>Notes</t>
        </is>
      </c>
      <c r="F6" s="4" t="n"/>
      <c r="G6" s="7" t="inlineStr">
        <is>
          <t>Cable Type</t>
        </is>
      </c>
      <c r="H6" s="7" t="inlineStr">
        <is>
          <t>Length</t>
        </is>
      </c>
      <c r="I6" s="7" t="inlineStr">
        <is>
          <t>Qty</t>
        </is>
      </c>
      <c r="J6" s="7" t="inlineStr">
        <is>
          <t>Label</t>
        </is>
      </c>
      <c r="K6" s="29" t="inlineStr">
        <is>
          <t>Notes</t>
        </is>
      </c>
      <c r="L6" s="4" t="n"/>
      <c r="M6" s="7" t="inlineStr">
        <is>
          <t>Cable Type</t>
        </is>
      </c>
      <c r="N6" s="7" t="inlineStr">
        <is>
          <t>Length</t>
        </is>
      </c>
      <c r="O6" s="7" t="inlineStr">
        <is>
          <t>Qty</t>
        </is>
      </c>
      <c r="P6" s="7" t="inlineStr">
        <is>
          <t>Label</t>
        </is>
      </c>
      <c r="Q6" s="29" t="inlineStr">
        <is>
          <t>Notes</t>
        </is>
      </c>
      <c r="R6" s="4" t="n"/>
      <c r="S6" s="7" t="inlineStr">
        <is>
          <t>Cable Type</t>
        </is>
      </c>
      <c r="T6" s="7" t="inlineStr">
        <is>
          <t>Length</t>
        </is>
      </c>
      <c r="U6" s="7" t="inlineStr">
        <is>
          <t>Qty</t>
        </is>
      </c>
      <c r="V6" s="7" t="inlineStr">
        <is>
          <t>Label</t>
        </is>
      </c>
      <c r="W6" s="29" t="inlineStr">
        <is>
          <t>Notes</t>
        </is>
      </c>
      <c r="X6" s="4" t="n"/>
      <c r="Y6" s="4" t="n"/>
      <c r="Z6" s="4" t="n"/>
    </row>
    <row r="7" ht="15" customHeight="1" s="70">
      <c r="A7" s="35" t="n"/>
      <c r="B7" s="41" t="n"/>
      <c r="C7" s="41" t="n"/>
      <c r="D7" s="55" t="n"/>
      <c r="E7" s="35" t="n"/>
      <c r="F7" s="4" t="n"/>
      <c r="G7" s="36" t="n"/>
      <c r="H7" s="39" t="n"/>
      <c r="I7" s="39" t="n"/>
      <c r="J7" s="55" t="n"/>
      <c r="K7" s="35" t="n"/>
      <c r="L7" s="4" t="n"/>
      <c r="M7" s="36" t="n"/>
      <c r="N7" s="39" t="n"/>
      <c r="O7" s="39" t="n"/>
      <c r="P7" s="55" t="n"/>
      <c r="Q7" s="35" t="n"/>
      <c r="R7" s="4" t="n"/>
      <c r="S7" s="55" t="n"/>
      <c r="T7" s="41" t="n"/>
      <c r="U7" s="41" t="n"/>
      <c r="V7" s="55" t="n"/>
      <c r="W7" s="35" t="n"/>
      <c r="X7" s="4" t="n"/>
      <c r="Y7" s="4" t="n"/>
      <c r="Z7" s="4" t="n"/>
    </row>
    <row r="8" ht="15" customHeight="1" s="70">
      <c r="A8" s="50" t="n"/>
      <c r="B8" s="51" t="n"/>
      <c r="C8" s="51" t="n"/>
      <c r="D8" s="45" t="n"/>
      <c r="E8" s="50" t="n"/>
      <c r="F8" s="4" t="n"/>
      <c r="G8" s="47" t="n"/>
      <c r="H8" s="48" t="n"/>
      <c r="I8" s="48" t="n"/>
      <c r="J8" s="45" t="n"/>
      <c r="K8" s="50" t="n"/>
      <c r="L8" s="4" t="n"/>
      <c r="M8" s="47" t="n"/>
      <c r="N8" s="48" t="n"/>
      <c r="O8" s="48" t="n"/>
      <c r="P8" s="45" t="n"/>
      <c r="Q8" s="50" t="n"/>
      <c r="R8" s="4" t="n"/>
      <c r="S8" s="45" t="n"/>
      <c r="T8" s="51" t="n"/>
      <c r="U8" s="51" t="n"/>
      <c r="V8" s="45" t="n"/>
      <c r="W8" s="50" t="n"/>
      <c r="X8" s="4" t="n"/>
      <c r="Y8" s="4" t="n"/>
      <c r="Z8" s="4" t="n"/>
    </row>
    <row r="9" ht="15" customHeight="1" s="70">
      <c r="A9" s="35" t="n"/>
      <c r="B9" s="41" t="n"/>
      <c r="C9" s="41" t="n"/>
      <c r="D9" s="55" t="n"/>
      <c r="E9" s="35" t="n"/>
      <c r="F9" s="4" t="n"/>
      <c r="G9" s="36" t="n"/>
      <c r="H9" s="39" t="n"/>
      <c r="I9" s="39" t="n"/>
      <c r="J9" s="55" t="n"/>
      <c r="K9" s="35" t="n"/>
      <c r="L9" s="4" t="n"/>
      <c r="M9" s="36" t="n"/>
      <c r="N9" s="39" t="n"/>
      <c r="O9" s="39" t="n"/>
      <c r="P9" s="35" t="n"/>
      <c r="Q9" s="35" t="n"/>
      <c r="R9" s="4" t="n"/>
      <c r="S9" s="55" t="n"/>
      <c r="T9" s="41" t="n"/>
      <c r="U9" s="41" t="n"/>
      <c r="V9" s="55" t="n"/>
      <c r="W9" s="35" t="n"/>
      <c r="X9" s="4" t="n"/>
      <c r="Y9" s="4" t="n"/>
      <c r="Z9" s="4" t="n"/>
    </row>
    <row r="10" ht="15" customHeight="1" s="70">
      <c r="A10" s="50" t="n"/>
      <c r="B10" s="51" t="n"/>
      <c r="C10" s="51" t="n"/>
      <c r="D10" s="45" t="n"/>
      <c r="E10" s="50" t="n"/>
      <c r="F10" s="4" t="n"/>
      <c r="G10" s="47" t="n"/>
      <c r="H10" s="48" t="n"/>
      <c r="I10" s="48" t="n"/>
      <c r="J10" s="45" t="n"/>
      <c r="K10" s="50" t="n"/>
      <c r="L10" s="4" t="n"/>
      <c r="M10" s="47" t="n"/>
      <c r="N10" s="48" t="n"/>
      <c r="O10" s="48" t="n"/>
      <c r="P10" s="45" t="n"/>
      <c r="Q10" s="50" t="n"/>
      <c r="R10" s="4" t="n"/>
      <c r="S10" s="45" t="n"/>
      <c r="T10" s="51" t="n"/>
      <c r="U10" s="51" t="n"/>
      <c r="V10" s="45" t="n"/>
      <c r="W10" s="50" t="n"/>
      <c r="X10" s="4" t="n"/>
      <c r="Y10" s="4" t="n"/>
      <c r="Z10" s="4" t="n"/>
    </row>
    <row r="11" ht="15" customHeight="1" s="70">
      <c r="A11" s="35" t="n"/>
      <c r="B11" s="41" t="n"/>
      <c r="C11" s="41" t="n"/>
      <c r="D11" s="55" t="n"/>
      <c r="E11" s="35" t="n"/>
      <c r="F11" s="4" t="n"/>
      <c r="G11" s="36" t="n"/>
      <c r="H11" s="39" t="n"/>
      <c r="I11" s="39" t="n"/>
      <c r="J11" s="55" t="n"/>
      <c r="K11" s="35" t="n"/>
      <c r="L11" s="4" t="n"/>
      <c r="M11" s="36" t="n"/>
      <c r="N11" s="39" t="n"/>
      <c r="O11" s="41" t="n"/>
      <c r="P11" s="55" t="n"/>
      <c r="Q11" s="35" t="n"/>
      <c r="R11" s="4" t="n"/>
      <c r="S11" s="55" t="n"/>
      <c r="T11" s="41" t="n"/>
      <c r="U11" s="41" t="n"/>
      <c r="V11" s="55" t="n"/>
      <c r="W11" s="35" t="n"/>
      <c r="X11" s="4" t="n"/>
      <c r="Y11" s="4" t="n"/>
      <c r="Z11" s="4" t="n"/>
    </row>
    <row r="12" ht="15" customHeight="1" s="70">
      <c r="A12" s="50" t="n"/>
      <c r="B12" s="51" t="n"/>
      <c r="C12" s="51" t="n"/>
      <c r="D12" s="45" t="n"/>
      <c r="E12" s="50" t="n"/>
      <c r="F12" s="4" t="n"/>
      <c r="G12" s="47" t="n"/>
      <c r="H12" s="48" t="n"/>
      <c r="I12" s="48" t="n"/>
      <c r="J12" s="50" t="n"/>
      <c r="K12" s="50" t="n"/>
      <c r="L12" s="4" t="n"/>
      <c r="M12" s="47" t="n"/>
      <c r="N12" s="48" t="n"/>
      <c r="O12" s="48" t="n"/>
      <c r="P12" s="45" t="n"/>
      <c r="Q12" s="50" t="n"/>
      <c r="R12" s="4" t="n"/>
      <c r="S12" s="45" t="n"/>
      <c r="T12" s="51" t="n"/>
      <c r="U12" s="51" t="n"/>
      <c r="V12" s="45" t="n"/>
      <c r="W12" s="50" t="n"/>
      <c r="X12" s="4" t="n"/>
      <c r="Y12" s="4" t="n"/>
      <c r="Z12" s="4" t="n"/>
    </row>
    <row r="13" ht="15" customHeight="1" s="70">
      <c r="A13" s="35" t="n"/>
      <c r="B13" s="41" t="n"/>
      <c r="C13" s="41" t="n"/>
      <c r="D13" s="55" t="n"/>
      <c r="E13" s="35" t="n"/>
      <c r="F13" s="4" t="n"/>
      <c r="G13" s="36" t="n"/>
      <c r="H13" s="39" t="n"/>
      <c r="I13" s="39" t="n"/>
      <c r="J13" s="55" t="n"/>
      <c r="K13" s="35" t="n"/>
      <c r="L13" s="4" t="n"/>
      <c r="M13" s="36" t="n"/>
      <c r="N13" s="39" t="n"/>
      <c r="O13" s="39" t="n"/>
      <c r="P13" s="55" t="n"/>
      <c r="Q13" s="35" t="n"/>
      <c r="R13" s="4" t="n"/>
      <c r="S13" s="55" t="n"/>
      <c r="T13" s="41" t="n"/>
      <c r="U13" s="41" t="n"/>
      <c r="V13" s="55" t="n"/>
      <c r="W13" s="35" t="n"/>
      <c r="X13" s="4" t="n"/>
      <c r="Y13" s="4" t="n"/>
      <c r="Z13" s="4" t="n"/>
    </row>
    <row r="14" ht="15" customHeight="1" s="70">
      <c r="A14" s="50" t="n"/>
      <c r="B14" s="51" t="n"/>
      <c r="C14" s="51" t="n"/>
      <c r="D14" s="45" t="n"/>
      <c r="E14" s="50" t="n"/>
      <c r="F14" s="4" t="n"/>
      <c r="G14" s="47" t="n"/>
      <c r="H14" s="48" t="n"/>
      <c r="I14" s="48" t="n"/>
      <c r="J14" s="50" t="n"/>
      <c r="K14" s="50" t="n"/>
      <c r="L14" s="4" t="n"/>
      <c r="M14" s="47" t="n"/>
      <c r="N14" s="48" t="n"/>
      <c r="O14" s="48" t="n"/>
      <c r="P14" s="45" t="n"/>
      <c r="Q14" s="50" t="n"/>
      <c r="R14" s="4" t="n"/>
      <c r="S14" s="45" t="n"/>
      <c r="T14" s="51" t="n"/>
      <c r="U14" s="51" t="n"/>
      <c r="V14" s="45" t="n"/>
      <c r="W14" s="50" t="n"/>
      <c r="X14" s="4" t="n"/>
      <c r="Y14" s="4" t="n"/>
      <c r="Z14" s="4" t="n"/>
    </row>
    <row r="15" ht="15" customHeight="1" s="70">
      <c r="A15" s="35" t="n"/>
      <c r="B15" s="41" t="n"/>
      <c r="C15" s="41" t="n"/>
      <c r="D15" s="55" t="n"/>
      <c r="E15" s="35" t="n"/>
      <c r="F15" s="4" t="n"/>
      <c r="G15" s="36" t="n"/>
      <c r="H15" s="39" t="n"/>
      <c r="I15" s="39" t="n"/>
      <c r="J15" s="55" t="n"/>
      <c r="K15" s="35" t="n"/>
      <c r="L15" s="4" t="n"/>
      <c r="M15" s="36" t="n"/>
      <c r="N15" s="39" t="n"/>
      <c r="O15" s="39" t="n"/>
      <c r="P15" s="55" t="n"/>
      <c r="Q15" s="35" t="n"/>
      <c r="R15" s="4" t="n"/>
      <c r="S15" s="55" t="n"/>
      <c r="T15" s="41" t="n"/>
      <c r="U15" s="41" t="n"/>
      <c r="V15" s="55" t="n"/>
      <c r="W15" s="35" t="n"/>
      <c r="X15" s="4" t="n"/>
      <c r="Y15" s="4" t="n"/>
      <c r="Z15" s="4" t="n"/>
    </row>
    <row r="16" ht="15" customHeight="1" s="70">
      <c r="A16" s="50" t="n"/>
      <c r="B16" s="51" t="n"/>
      <c r="C16" s="48" t="n"/>
      <c r="D16" s="45" t="n"/>
      <c r="E16" s="50" t="n"/>
      <c r="F16" s="4" t="n"/>
      <c r="G16" s="47" t="n"/>
      <c r="H16" s="48" t="n"/>
      <c r="I16" s="48" t="n"/>
      <c r="J16" s="45" t="n"/>
      <c r="K16" s="50" t="n"/>
      <c r="L16" s="4" t="n"/>
      <c r="M16" s="47" t="n"/>
      <c r="N16" s="48" t="n"/>
      <c r="O16" s="48" t="n"/>
      <c r="P16" s="45" t="n"/>
      <c r="Q16" s="50" t="n"/>
      <c r="R16" s="4" t="n"/>
      <c r="S16" s="45" t="n"/>
      <c r="T16" s="51" t="n"/>
      <c r="U16" s="51" t="n"/>
      <c r="V16" s="45" t="n"/>
      <c r="W16" s="50" t="n"/>
      <c r="X16" s="4" t="n"/>
      <c r="Y16" s="4" t="n"/>
      <c r="Z16" s="4" t="n"/>
    </row>
    <row r="17" ht="15" customHeight="1" s="70">
      <c r="A17" s="35" t="n"/>
      <c r="B17" s="41" t="n"/>
      <c r="C17" s="41" t="n"/>
      <c r="D17" s="55" t="n"/>
      <c r="E17" s="35" t="n"/>
      <c r="F17" s="4" t="n"/>
      <c r="G17" s="36" t="n"/>
      <c r="H17" s="39" t="n"/>
      <c r="I17" s="39" t="n"/>
      <c r="J17" s="55" t="n"/>
      <c r="K17" s="35" t="n"/>
      <c r="L17" s="4" t="n"/>
      <c r="M17" s="36" t="n"/>
      <c r="N17" s="39" t="n"/>
      <c r="O17" s="39" t="n"/>
      <c r="P17" s="55" t="n"/>
      <c r="Q17" s="35" t="n"/>
      <c r="R17" s="4" t="n"/>
      <c r="S17" s="55" t="n"/>
      <c r="T17" s="41" t="n"/>
      <c r="U17" s="41" t="n"/>
      <c r="V17" s="55" t="n"/>
      <c r="W17" s="35" t="n"/>
      <c r="X17" s="4" t="n"/>
      <c r="Y17" s="4" t="n"/>
      <c r="Z17" s="4" t="n"/>
    </row>
    <row r="18" ht="15" customHeight="1" s="70">
      <c r="A18" s="50" t="n"/>
      <c r="B18" s="51" t="n"/>
      <c r="C18" s="51" t="n"/>
      <c r="D18" s="45" t="n"/>
      <c r="E18" s="50" t="n"/>
      <c r="F18" s="4" t="n"/>
      <c r="G18" s="47" t="n"/>
      <c r="H18" s="48" t="n"/>
      <c r="I18" s="48" t="n"/>
      <c r="J18" s="45" t="n"/>
      <c r="K18" s="50" t="n"/>
      <c r="L18" s="4" t="n"/>
      <c r="M18" s="47" t="n"/>
      <c r="N18" s="48" t="n"/>
      <c r="O18" s="48" t="n"/>
      <c r="P18" s="45" t="n"/>
      <c r="Q18" s="50" t="n"/>
      <c r="R18" s="4" t="n"/>
      <c r="S18" s="45" t="n"/>
      <c r="T18" s="51" t="n"/>
      <c r="U18" s="51" t="n"/>
      <c r="V18" s="45" t="n"/>
      <c r="W18" s="50" t="n"/>
      <c r="X18" s="4" t="n"/>
      <c r="Y18" s="4" t="n"/>
      <c r="Z18" s="4" t="n"/>
    </row>
    <row r="19" ht="15" customHeight="1" s="70">
      <c r="A19" s="55" t="n"/>
      <c r="B19" s="41" t="n"/>
      <c r="C19" s="39" t="n"/>
      <c r="D19" s="55" t="n"/>
      <c r="E19" s="35" t="n"/>
      <c r="F19" s="4" t="n"/>
      <c r="G19" s="36" t="n"/>
      <c r="H19" s="39" t="n"/>
      <c r="I19" s="39" t="n"/>
      <c r="J19" s="55" t="n"/>
      <c r="K19" s="35" t="n"/>
      <c r="L19" s="4" t="n"/>
      <c r="M19" s="36" t="n"/>
      <c r="N19" s="39" t="n"/>
      <c r="O19" s="41" t="n"/>
      <c r="P19" s="55" t="n"/>
      <c r="Q19" s="35" t="n"/>
      <c r="R19" s="4" t="n"/>
      <c r="S19" s="55" t="n"/>
      <c r="T19" s="41" t="n"/>
      <c r="U19" s="41" t="n"/>
      <c r="V19" s="55" t="n"/>
      <c r="W19" s="35" t="n"/>
      <c r="X19" s="4" t="n"/>
      <c r="Y19" s="4" t="n"/>
      <c r="Z19" s="4" t="n"/>
    </row>
    <row r="20" ht="15" customHeight="1" s="70">
      <c r="A20" s="56" t="n"/>
      <c r="B20" s="48" t="n"/>
      <c r="C20" s="48" t="n"/>
      <c r="D20" s="45" t="n"/>
      <c r="E20" s="50" t="n"/>
      <c r="F20" s="4" t="n"/>
      <c r="G20" s="47" t="n"/>
      <c r="H20" s="48" t="n"/>
      <c r="I20" s="48" t="n"/>
      <c r="J20" s="45" t="n"/>
      <c r="K20" s="50" t="n"/>
      <c r="L20" s="4" t="n"/>
      <c r="M20" s="47" t="n"/>
      <c r="N20" s="48" t="n"/>
      <c r="O20" s="48" t="n"/>
      <c r="P20" s="45" t="n"/>
      <c r="Q20" s="50" t="n"/>
      <c r="R20" s="4" t="n"/>
      <c r="S20" s="45" t="n"/>
      <c r="T20" s="51" t="n"/>
      <c r="U20" s="51" t="n"/>
      <c r="V20" s="45" t="n"/>
      <c r="W20" s="50" t="n"/>
      <c r="X20" s="4" t="n"/>
      <c r="Y20" s="4" t="n"/>
      <c r="Z20" s="4" t="n"/>
    </row>
    <row r="21" ht="15.75" customHeight="1" s="70">
      <c r="A21" s="57" t="n"/>
      <c r="B21" s="39" t="n"/>
      <c r="C21" s="39" t="n"/>
      <c r="D21" s="55" t="n"/>
      <c r="E21" s="35" t="n"/>
      <c r="F21" s="4" t="n"/>
      <c r="G21" s="36" t="n"/>
      <c r="H21" s="39" t="n"/>
      <c r="I21" s="39" t="n"/>
      <c r="J21" s="55" t="n"/>
      <c r="K21" s="35" t="n"/>
      <c r="L21" s="4" t="n"/>
      <c r="M21" s="57" t="n"/>
      <c r="N21" s="39" t="n"/>
      <c r="O21" s="39" t="n"/>
      <c r="P21" s="55" t="n"/>
      <c r="Q21" s="35" t="n"/>
      <c r="R21" s="4" t="n"/>
      <c r="S21" s="55" t="n"/>
      <c r="T21" s="41" t="n"/>
      <c r="U21" s="41" t="n"/>
      <c r="V21" s="55" t="n"/>
      <c r="W21" s="35" t="n"/>
      <c r="X21" s="4" t="n"/>
      <c r="Y21" s="4" t="n"/>
      <c r="Z21" s="4" t="n"/>
    </row>
    <row r="22" ht="15.75" customHeight="1" s="70">
      <c r="A22" s="56" t="n"/>
      <c r="B22" s="48" t="n"/>
      <c r="C22" s="48" t="n"/>
      <c r="D22" s="45" t="n"/>
      <c r="E22" s="50" t="n"/>
      <c r="F22" s="4" t="n"/>
      <c r="G22" s="47" t="n"/>
      <c r="H22" s="48" t="n"/>
      <c r="I22" s="48" t="n"/>
      <c r="J22" s="45" t="n"/>
      <c r="K22" s="50" t="n"/>
      <c r="L22" s="4" t="n"/>
      <c r="M22" s="56" t="n"/>
      <c r="N22" s="48" t="n"/>
      <c r="O22" s="48" t="n"/>
      <c r="P22" s="45" t="n"/>
      <c r="Q22" s="50" t="n"/>
      <c r="R22" s="4" t="n"/>
      <c r="S22" s="45" t="n"/>
      <c r="T22" s="51" t="n"/>
      <c r="U22" s="51" t="n"/>
      <c r="V22" s="45" t="n"/>
      <c r="W22" s="50" t="n"/>
      <c r="X22" s="4" t="n"/>
      <c r="Y22" s="4" t="n"/>
      <c r="Z22" s="4" t="n"/>
    </row>
    <row r="23" ht="27.75" customHeight="1" s="70">
      <c r="A23" s="57" t="n"/>
      <c r="B23" s="39" t="n"/>
      <c r="C23" s="39" t="n"/>
      <c r="D23" s="55" t="n"/>
      <c r="E23" s="35" t="n"/>
      <c r="F23" s="4" t="n"/>
      <c r="G23" s="36" t="n"/>
      <c r="H23" s="39" t="n"/>
      <c r="I23" s="39" t="n"/>
      <c r="J23" s="55" t="n"/>
      <c r="K23" s="35" t="n"/>
      <c r="L23" s="4" t="n"/>
      <c r="M23" s="36" t="n"/>
      <c r="N23" s="39" t="n"/>
      <c r="O23" s="39" t="n"/>
      <c r="P23" s="55" t="n"/>
      <c r="Q23" s="35" t="n"/>
      <c r="R23" s="4" t="n"/>
      <c r="S23" s="55" t="n"/>
      <c r="T23" s="41" t="n"/>
      <c r="U23" s="41" t="n"/>
      <c r="V23" s="55" t="n"/>
      <c r="W23" s="35" t="n"/>
      <c r="X23" s="4" t="n"/>
      <c r="Y23" s="4" t="n"/>
      <c r="Z23" s="4" t="n"/>
    </row>
    <row r="24" ht="30" customHeight="1" s="70">
      <c r="A24" s="47" t="n"/>
      <c r="B24" s="48" t="n"/>
      <c r="C24" s="48" t="n"/>
      <c r="D24" s="45" t="n"/>
      <c r="E24" s="50" t="n"/>
      <c r="F24" s="4" t="n"/>
      <c r="G24" s="50" t="n"/>
      <c r="H24" s="51" t="n"/>
      <c r="I24" s="51" t="n"/>
      <c r="J24" s="45" t="n"/>
      <c r="K24" s="50" t="n"/>
      <c r="L24" s="4" t="n"/>
      <c r="M24" s="45" t="n"/>
      <c r="N24" s="51" t="n"/>
      <c r="O24" s="51" t="n"/>
      <c r="P24" s="45" t="n"/>
      <c r="Q24" s="50" t="n"/>
      <c r="R24" s="4" t="n"/>
      <c r="S24" s="45" t="n"/>
      <c r="T24" s="51" t="n"/>
      <c r="U24" s="51" t="n"/>
      <c r="V24" s="45" t="n"/>
      <c r="W24" s="50" t="n"/>
      <c r="X24" s="4" t="n"/>
      <c r="Y24" s="4" t="n"/>
      <c r="Z24" s="4" t="n"/>
    </row>
    <row r="25" ht="15.75" customHeight="1" s="70">
      <c r="A25" s="55" t="n"/>
      <c r="B25" s="41" t="n"/>
      <c r="C25" s="41" t="n"/>
      <c r="D25" s="55" t="n"/>
      <c r="E25" s="35" t="n"/>
      <c r="F25" s="4" t="n"/>
      <c r="G25" s="55" t="n"/>
      <c r="H25" s="41" t="n"/>
      <c r="I25" s="41" t="n"/>
      <c r="J25" s="55" t="n"/>
      <c r="K25" s="35" t="n"/>
      <c r="L25" s="4" t="n"/>
      <c r="M25" s="55" t="n"/>
      <c r="N25" s="41" t="n"/>
      <c r="O25" s="41" t="n"/>
      <c r="P25" s="55" t="n"/>
      <c r="Q25" s="35" t="n"/>
      <c r="R25" s="4" t="n"/>
      <c r="S25" s="55" t="n"/>
      <c r="T25" s="41" t="n"/>
      <c r="U25" s="41" t="n"/>
      <c r="V25" s="55" t="n"/>
      <c r="W25" s="35" t="n"/>
      <c r="X25" s="4" t="n"/>
      <c r="Y25" s="4" t="n"/>
      <c r="Z25" s="4" t="n"/>
    </row>
    <row r="26" ht="15.75" customHeight="1" s="70">
      <c r="A26" s="45" t="n"/>
      <c r="B26" s="51" t="n"/>
      <c r="C26" s="51" t="n"/>
      <c r="D26" s="45" t="n"/>
      <c r="E26" s="50" t="n"/>
      <c r="F26" s="4" t="n"/>
      <c r="G26" s="45" t="n"/>
      <c r="H26" s="51" t="n"/>
      <c r="I26" s="51" t="n"/>
      <c r="J26" s="45" t="n"/>
      <c r="K26" s="50" t="n"/>
      <c r="L26" s="4" t="n"/>
      <c r="M26" s="45" t="n"/>
      <c r="N26" s="51" t="n"/>
      <c r="O26" s="51" t="n"/>
      <c r="P26" s="45" t="n"/>
      <c r="Q26" s="50" t="n"/>
      <c r="R26" s="4" t="n"/>
      <c r="S26" s="45" t="n"/>
      <c r="T26" s="51" t="n"/>
      <c r="U26" s="51" t="n"/>
      <c r="V26" s="45" t="n"/>
      <c r="W26" s="50" t="n"/>
      <c r="X26" s="4" t="n"/>
      <c r="Y26" s="4" t="n"/>
      <c r="Z26" s="4" t="n"/>
    </row>
    <row r="27" ht="15.75" customHeight="1" s="70">
      <c r="A27" s="55" t="n"/>
      <c r="B27" s="41" t="n"/>
      <c r="C27" s="41" t="n"/>
      <c r="D27" s="55" t="n"/>
      <c r="E27" s="35" t="n"/>
      <c r="F27" s="4" t="n"/>
      <c r="G27" s="55" t="n"/>
      <c r="H27" s="41" t="n"/>
      <c r="I27" s="41" t="n"/>
      <c r="J27" s="55" t="n"/>
      <c r="K27" s="35" t="n"/>
      <c r="L27" s="4" t="n"/>
      <c r="M27" s="55" t="n"/>
      <c r="N27" s="41" t="n"/>
      <c r="O27" s="41" t="n"/>
      <c r="P27" s="55" t="n"/>
      <c r="Q27" s="35" t="n"/>
      <c r="R27" s="4" t="n"/>
      <c r="S27" s="55" t="n"/>
      <c r="T27" s="41" t="n"/>
      <c r="U27" s="41" t="n"/>
      <c r="V27" s="55" t="n"/>
      <c r="W27" s="35" t="n"/>
      <c r="X27" s="4" t="n"/>
      <c r="Y27" s="4" t="n"/>
      <c r="Z27" s="4" t="n"/>
    </row>
    <row r="28" ht="15.75" customHeight="1" s="70">
      <c r="A28" s="45" t="n"/>
      <c r="B28" s="51" t="n"/>
      <c r="C28" s="51" t="n"/>
      <c r="D28" s="45" t="n"/>
      <c r="E28" s="50" t="n"/>
      <c r="F28" s="4" t="n"/>
      <c r="G28" s="45" t="n"/>
      <c r="H28" s="51" t="n"/>
      <c r="I28" s="51" t="n"/>
      <c r="J28" s="45" t="n"/>
      <c r="K28" s="50" t="n"/>
      <c r="L28" s="4" t="n"/>
      <c r="M28" s="45" t="n"/>
      <c r="N28" s="51" t="n"/>
      <c r="O28" s="51" t="n"/>
      <c r="P28" s="45" t="n"/>
      <c r="Q28" s="50" t="n"/>
      <c r="R28" s="4" t="n"/>
      <c r="S28" s="45" t="n"/>
      <c r="T28" s="51" t="n"/>
      <c r="U28" s="51" t="n"/>
      <c r="V28" s="45" t="n"/>
      <c r="W28" s="50" t="n"/>
      <c r="X28" s="4" t="n"/>
      <c r="Y28" s="4" t="n"/>
      <c r="Z28" s="4" t="n"/>
    </row>
    <row r="29" ht="15.75" customHeight="1" s="70">
      <c r="A29" s="55" t="n"/>
      <c r="B29" s="41" t="n"/>
      <c r="C29" s="41" t="n"/>
      <c r="D29" s="55" t="n"/>
      <c r="E29" s="35" t="n"/>
      <c r="F29" s="4" t="n"/>
      <c r="G29" s="55" t="n"/>
      <c r="H29" s="41" t="n"/>
      <c r="I29" s="41" t="n"/>
      <c r="J29" s="55" t="n"/>
      <c r="K29" s="35" t="n"/>
      <c r="L29" s="4" t="n"/>
      <c r="M29" s="55" t="n"/>
      <c r="N29" s="41" t="n"/>
      <c r="O29" s="41" t="n"/>
      <c r="P29" s="55" t="n"/>
      <c r="Q29" s="35" t="n"/>
      <c r="R29" s="4" t="n"/>
      <c r="S29" s="55" t="n"/>
      <c r="T29" s="41" t="n"/>
      <c r="U29" s="41" t="n"/>
      <c r="V29" s="55" t="n"/>
      <c r="W29" s="35" t="n"/>
      <c r="X29" s="4" t="n"/>
      <c r="Y29" s="4" t="n"/>
      <c r="Z29" s="4" t="n"/>
    </row>
    <row r="30" ht="15.75" customHeight="1" s="70">
      <c r="A30" s="45" t="n"/>
      <c r="B30" s="51" t="n"/>
      <c r="C30" s="51" t="n"/>
      <c r="D30" s="45" t="n"/>
      <c r="E30" s="50" t="n"/>
      <c r="F30" s="4" t="n"/>
      <c r="G30" s="45" t="n"/>
      <c r="H30" s="51" t="n"/>
      <c r="I30" s="51" t="n"/>
      <c r="J30" s="45" t="n"/>
      <c r="K30" s="50" t="n"/>
      <c r="L30" s="4" t="n"/>
      <c r="M30" s="45" t="n"/>
      <c r="N30" s="51" t="n"/>
      <c r="O30" s="51" t="n"/>
      <c r="P30" s="45" t="n"/>
      <c r="Q30" s="50" t="n"/>
      <c r="R30" s="4" t="n"/>
      <c r="S30" s="45" t="n"/>
      <c r="T30" s="51" t="n"/>
      <c r="U30" s="51" t="n"/>
      <c r="V30" s="45" t="n"/>
      <c r="W30" s="50" t="n"/>
      <c r="X30" s="4" t="n"/>
      <c r="Y30" s="4" t="n"/>
      <c r="Z30" s="4" t="n"/>
    </row>
    <row r="31" ht="15.75" customHeight="1" s="70">
      <c r="A31" s="55" t="n"/>
      <c r="B31" s="41" t="n"/>
      <c r="C31" s="41" t="n"/>
      <c r="D31" s="55" t="n"/>
      <c r="E31" s="35" t="n"/>
      <c r="F31" s="4" t="n"/>
      <c r="G31" s="55" t="n"/>
      <c r="H31" s="41" t="n"/>
      <c r="I31" s="41" t="n"/>
      <c r="J31" s="55" t="n"/>
      <c r="K31" s="35" t="n"/>
      <c r="L31" s="4" t="n"/>
      <c r="M31" s="55" t="n"/>
      <c r="N31" s="41" t="n"/>
      <c r="O31" s="41" t="n"/>
      <c r="P31" s="55" t="n"/>
      <c r="Q31" s="35" t="n"/>
      <c r="R31" s="4" t="n"/>
      <c r="S31" s="55" t="n"/>
      <c r="T31" s="41" t="n"/>
      <c r="U31" s="41" t="n"/>
      <c r="V31" s="55" t="n"/>
      <c r="W31" s="35" t="n"/>
      <c r="X31" s="4" t="n"/>
      <c r="Y31" s="4" t="n"/>
      <c r="Z31" s="4" t="n"/>
    </row>
    <row r="32" ht="15.75" customHeight="1" s="70">
      <c r="A32" s="45" t="n"/>
      <c r="B32" s="51" t="n"/>
      <c r="C32" s="51" t="n"/>
      <c r="D32" s="45" t="n"/>
      <c r="E32" s="50" t="n"/>
      <c r="F32" s="4" t="n"/>
      <c r="G32" s="45" t="n"/>
      <c r="H32" s="51" t="n"/>
      <c r="I32" s="51" t="n"/>
      <c r="J32" s="45" t="n"/>
      <c r="K32" s="50" t="n"/>
      <c r="L32" s="4" t="n"/>
      <c r="M32" s="45" t="n"/>
      <c r="N32" s="51" t="n"/>
      <c r="O32" s="51" t="n"/>
      <c r="P32" s="45" t="n"/>
      <c r="Q32" s="50" t="n"/>
      <c r="R32" s="4" t="n"/>
      <c r="S32" s="45" t="n"/>
      <c r="T32" s="51" t="n"/>
      <c r="U32" s="51" t="n"/>
      <c r="V32" s="45" t="n"/>
      <c r="W32" s="50" t="n"/>
      <c r="X32" s="4" t="n"/>
      <c r="Y32" s="4" t="n"/>
      <c r="Z32" s="4" t="n"/>
    </row>
    <row r="33" ht="15.75" customHeight="1" s="70">
      <c r="A33" s="55" t="n"/>
      <c r="B33" s="41" t="n"/>
      <c r="C33" s="41" t="n"/>
      <c r="D33" s="55" t="n"/>
      <c r="E33" s="35" t="n"/>
      <c r="F33" s="4" t="n"/>
      <c r="G33" s="55" t="n"/>
      <c r="H33" s="41" t="n"/>
      <c r="I33" s="41" t="n"/>
      <c r="J33" s="55" t="n"/>
      <c r="K33" s="35" t="n"/>
      <c r="L33" s="4" t="n"/>
      <c r="M33" s="55" t="n"/>
      <c r="N33" s="41" t="n"/>
      <c r="O33" s="41" t="n"/>
      <c r="P33" s="55" t="n"/>
      <c r="Q33" s="35" t="n"/>
      <c r="R33" s="4" t="n"/>
      <c r="S33" s="55" t="n"/>
      <c r="T33" s="41" t="n"/>
      <c r="U33" s="41" t="n"/>
      <c r="V33" s="55" t="n"/>
      <c r="W33" s="35" t="n"/>
      <c r="X33" s="4" t="n"/>
      <c r="Y33" s="4" t="n"/>
      <c r="Z33" s="4" t="n"/>
    </row>
    <row r="34" ht="15.75" customHeight="1" s="70">
      <c r="A34" s="45" t="n"/>
      <c r="B34" s="51" t="n"/>
      <c r="C34" s="51" t="n"/>
      <c r="D34" s="45" t="n"/>
      <c r="E34" s="50" t="n"/>
      <c r="F34" s="4" t="n"/>
      <c r="G34" s="45" t="n"/>
      <c r="H34" s="51" t="n"/>
      <c r="I34" s="51" t="n"/>
      <c r="J34" s="45" t="n"/>
      <c r="K34" s="50" t="n"/>
      <c r="L34" s="4" t="n"/>
      <c r="M34" s="45" t="n"/>
      <c r="N34" s="51" t="n"/>
      <c r="O34" s="51" t="n"/>
      <c r="P34" s="45" t="n"/>
      <c r="Q34" s="50" t="n"/>
      <c r="R34" s="4" t="n"/>
      <c r="S34" s="45" t="n"/>
      <c r="T34" s="51" t="n"/>
      <c r="U34" s="51" t="n"/>
      <c r="V34" s="45" t="n"/>
      <c r="W34" s="50" t="n"/>
      <c r="X34" s="4" t="n"/>
      <c r="Y34" s="4" t="n"/>
      <c r="Z34" s="4" t="n"/>
    </row>
    <row r="35" ht="15.75" customHeight="1" s="70">
      <c r="A35" s="55" t="n"/>
      <c r="B35" s="41" t="n"/>
      <c r="C35" s="41" t="n"/>
      <c r="D35" s="55" t="n"/>
      <c r="E35" s="35" t="n"/>
      <c r="F35" s="4" t="n"/>
      <c r="G35" s="55" t="n"/>
      <c r="H35" s="41" t="n"/>
      <c r="I35" s="41" t="n"/>
      <c r="J35" s="55" t="n"/>
      <c r="K35" s="35" t="n"/>
      <c r="L35" s="4" t="n"/>
      <c r="M35" s="55" t="n"/>
      <c r="N35" s="41" t="n"/>
      <c r="O35" s="41" t="n"/>
      <c r="P35" s="55" t="n"/>
      <c r="Q35" s="35" t="n"/>
      <c r="R35" s="4" t="n"/>
      <c r="S35" s="55" t="n"/>
      <c r="T35" s="41" t="n"/>
      <c r="U35" s="41" t="n"/>
      <c r="V35" s="55" t="n"/>
      <c r="W35" s="35" t="n"/>
      <c r="X35" s="4" t="n"/>
      <c r="Y35" s="4" t="n"/>
      <c r="Z35" s="4" t="n"/>
    </row>
    <row r="36" ht="15.75" customHeight="1" s="70">
      <c r="A36" s="45" t="n"/>
      <c r="B36" s="51" t="n"/>
      <c r="C36" s="51" t="n"/>
      <c r="D36" s="45" t="n"/>
      <c r="E36" s="50" t="n"/>
      <c r="F36" s="4" t="n"/>
      <c r="G36" s="45" t="n"/>
      <c r="H36" s="51" t="n"/>
      <c r="I36" s="51" t="n"/>
      <c r="J36" s="45" t="n"/>
      <c r="K36" s="50" t="n"/>
      <c r="L36" s="4" t="n"/>
      <c r="M36" s="45" t="n"/>
      <c r="N36" s="51" t="n"/>
      <c r="O36" s="51" t="n"/>
      <c r="P36" s="45" t="n"/>
      <c r="Q36" s="50" t="n"/>
      <c r="R36" s="4" t="n"/>
      <c r="S36" s="45" t="n"/>
      <c r="T36" s="51" t="n"/>
      <c r="U36" s="51" t="n"/>
      <c r="V36" s="45" t="n"/>
      <c r="W36" s="50" t="n"/>
      <c r="X36" s="4" t="n"/>
      <c r="Y36" s="4" t="n"/>
      <c r="Z36" s="4" t="n"/>
    </row>
    <row r="37" ht="15.75" customHeight="1" s="7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7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7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7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7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7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7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7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7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7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7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7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7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7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7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7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7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7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7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7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7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7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7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7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7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7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7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7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7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7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7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7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7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7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7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7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7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7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7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7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7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7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7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7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7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7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7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7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7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7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7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7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7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7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7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7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7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7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7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7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7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7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7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7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7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7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7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7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7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7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7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7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7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7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7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7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7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7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7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7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7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7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7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7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7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7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7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7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7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7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7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7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7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7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7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7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7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7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7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7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7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7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7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7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7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7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7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7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7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7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7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7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7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7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7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7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7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7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7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7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7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7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7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7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7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7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7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7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7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7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7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7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7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7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7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7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7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7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7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7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7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7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7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7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7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7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7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7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7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7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7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7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7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7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7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7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7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7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7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7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7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7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7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7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7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7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7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7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7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7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7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7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7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7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7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7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7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7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7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7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7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7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7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7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7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7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7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7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7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7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7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7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7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7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7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7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7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7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7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7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7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7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7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7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7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7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7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7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7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7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7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7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7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7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7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7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7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7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7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7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7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7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7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7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7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7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7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7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7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7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7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7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7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7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7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7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7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7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7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7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7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7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7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7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7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7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7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7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7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7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7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7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7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7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7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7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7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7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7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7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7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7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7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7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7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7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7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7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7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7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7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7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7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7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7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7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7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7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7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7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7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7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7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7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7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7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7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7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7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7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7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7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7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7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7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7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7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7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7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7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7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7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7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7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7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7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7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7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7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7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7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7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7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7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7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7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7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7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7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7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7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7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7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7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7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7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7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7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7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7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7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7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7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7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7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7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7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7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7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7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7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7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7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7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7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7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7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7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7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7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7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7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7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7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7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7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7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7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7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7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7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7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7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7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7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7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7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7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7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7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7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7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7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7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7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7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7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7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7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7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7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7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7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7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7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7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7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7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7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7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7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7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7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7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7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7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7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7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7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7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7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7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7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7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7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7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7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7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7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7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7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7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7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7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7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7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7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7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7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7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7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7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7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7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7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7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7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7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7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7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7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7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7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7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7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7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7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7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7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7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7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7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7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7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7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7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7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7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7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7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7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7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7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7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7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7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7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7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7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7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7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7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7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7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7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7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7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7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7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7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7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7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7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7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7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7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7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7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7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7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7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7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7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7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7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7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7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7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7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7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7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7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7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7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7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7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7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7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7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7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7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7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7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7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7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7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7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7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7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7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7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7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7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7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7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7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7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7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7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7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7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7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7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7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7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7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7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7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7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7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7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7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7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7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7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7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7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7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7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7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7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7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7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7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7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7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7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7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7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7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7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7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7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7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7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7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7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7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7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7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7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7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7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7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7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7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7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7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7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7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7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7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7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7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7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7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7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7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7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7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7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7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7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7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7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7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7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7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7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7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7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7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7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7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7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7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7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7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7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7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7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7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7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7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7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7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7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7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7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7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7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7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7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7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7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7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7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7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7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7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7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7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7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7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7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7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7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7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7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7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7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7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7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7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7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7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7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7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7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7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7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7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7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7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7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7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7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7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7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7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7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7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7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7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7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7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7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7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7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7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7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7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7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7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7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7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7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7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7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7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7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7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7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7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7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7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7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7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7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7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7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7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7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7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7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7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7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7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7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7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7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7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7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7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7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7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7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7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7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7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7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7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7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7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7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7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7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7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7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7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7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7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7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7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7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7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7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7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7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7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7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7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7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7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7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7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7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7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7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7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7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7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7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7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7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7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7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7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7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7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7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7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7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7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7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7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7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7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7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7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7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7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7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7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7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7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7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7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7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7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7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7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7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7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7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7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7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7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7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7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7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7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7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7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7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7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7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7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7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7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7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7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7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7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7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7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7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7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7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7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7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7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7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7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7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7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7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7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7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7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7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7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7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7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7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7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7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7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7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7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7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7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7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7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7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7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7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7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7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7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7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7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7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7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7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7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7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7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7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7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7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7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7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7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7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7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7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7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7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7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7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7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7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7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7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7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7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7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7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7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7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7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7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7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7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7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7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7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7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7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7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7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7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7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7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7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7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7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7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7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7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7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7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7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7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7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7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7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7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7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7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7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7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7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7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7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7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7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7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7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7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7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7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7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7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7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7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7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7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7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7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7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7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7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7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7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7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7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7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7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7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7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7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7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7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7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7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7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7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7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7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7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7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7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7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7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7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7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7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7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7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7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7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7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7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7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7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7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7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7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7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7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7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7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7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7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7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7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7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7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7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7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7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7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1">
    <mergeCell ref="O5:Q5"/>
    <mergeCell ref="B2:C2"/>
    <mergeCell ref="C5:E5"/>
    <mergeCell ref="U5:W5"/>
    <mergeCell ref="B3:C3"/>
    <mergeCell ref="S5:T5"/>
    <mergeCell ref="I5:K5"/>
    <mergeCell ref="A5:B5"/>
    <mergeCell ref="G5:H5"/>
    <mergeCell ref="A1:E1"/>
    <mergeCell ref="M5:N5"/>
  </mergeCells>
  <dataValidations count="2">
    <dataValidation sqref="A7:A36 G7:G36 M7:M36 S7:S36" showDropDown="0" showInputMessage="0" showErrorMessage="0" allowBlank="1" type="list">
      <formula1>'GEAR LIST'!$A$4:$A$200</formula1>
    </dataValidation>
    <dataValidation sqref="B7:B36 H7:H36 N7:N36 T7:T36" showDropDown="0" showInputMessage="0" showErrorMessage="0" allowBlank="1" type="list">
      <formula1>'GEAR LIST'!$B$4:$B$60</formula1>
    </dataValidation>
  </dataValidations>
  <pageMargins left="0.75" right="0.75" top="1" bottom="1" header="0" footer="0"/>
  <pageSetup orientation="landscape" paperSize="3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34" customWidth="1" style="70" min="1" max="1"/>
    <col width="9" customWidth="1" style="70" min="2" max="2"/>
    <col width="10" customWidth="1" style="70" min="3" max="4"/>
    <col width="8.710000000000001" customWidth="1" style="70" min="5" max="5"/>
    <col hidden="1" width="13" customWidth="1" style="70" min="6" max="6"/>
  </cols>
  <sheetData>
    <row r="1" ht="30" customHeight="1" s="70">
      <c r="A1" s="3" t="inlineStr">
        <is>
          <t>SPARES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70">
      <c r="A2" s="6" t="inlineStr">
        <is>
          <t>Auto-built from the Pull Sheet. Only shows what you actually have. Rounded up.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4" customHeight="1" s="70">
      <c r="A3" s="9" t="inlineStr">
        <is>
          <t>SPARE %:</t>
        </is>
      </c>
      <c r="B3" s="11" t="n">
        <v>0.1</v>
      </c>
      <c r="C3" s="13" t="inlineStr">
        <is>
          <t>&lt; change this, everything updates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70">
      <c r="A5" s="7" t="inlineStr">
        <is>
          <t>Cable Type</t>
        </is>
      </c>
      <c r="B5" s="7" t="inlineStr">
        <is>
          <t>Length</t>
        </is>
      </c>
      <c r="C5" s="7" t="inlineStr">
        <is>
          <t>Needed</t>
        </is>
      </c>
      <c r="D5" s="7" t="inlineStr">
        <is>
          <t>Spares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70">
      <c r="A6" s="54">
        <f>IF($F6="","",LEFT($F6,FIND("|",$F6)-1))</f>
        <v/>
      </c>
      <c r="B6" s="54">
        <f>IF($F6="","",MID($F6,FIND("|",$F6)+1,50))</f>
        <v/>
      </c>
      <c r="C6" s="31">
        <f>IF($F6="","",SUMIF(calc!$A:$A,$F6,calc!$C:$C))</f>
        <v/>
      </c>
      <c r="D6" s="38">
        <f>IF($F6="","",ROUNDUP($C6*$B$3,0))</f>
        <v/>
      </c>
      <c r="E6" s="4" t="n"/>
      <c r="F6" s="4">
        <f t="array" ref="F6">IFERROR(INDEX(calc!$A:$A,MATCH(1,calc!$E:$E,0)),"")</f>
        <v/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70">
      <c r="A7" s="49">
        <f>IF($F7="","",LEFT($F7,FIND("|",$F7)-1))</f>
        <v/>
      </c>
      <c r="B7" s="49">
        <f>IF($F7="","",MID($F7,FIND("|",$F7)+1,50))</f>
        <v/>
      </c>
      <c r="C7" s="51">
        <f>IF($F7="","",SUMIF(calc!$A:$A,$F7,calc!$C:$C))</f>
        <v/>
      </c>
      <c r="D7" s="53">
        <f>IF($F7="","",ROUNDUP($C7*$B$3,0))</f>
        <v/>
      </c>
      <c r="E7" s="4" t="n"/>
      <c r="F7" s="4">
        <f t="array" ref="F7">IFERROR(INDEX(calc!$A:$A,MATCH(2,calc!$E:$E,0)),"")</f>
        <v/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70">
      <c r="A8" s="54">
        <f>IF($F8="","",LEFT($F8,FIND("|",$F8)-1))</f>
        <v/>
      </c>
      <c r="B8" s="54">
        <f>IF($F8="","",MID($F8,FIND("|",$F8)+1,50))</f>
        <v/>
      </c>
      <c r="C8" s="31">
        <f>IF($F8="","",SUMIF(calc!$A:$A,$F8,calc!$C:$C))</f>
        <v/>
      </c>
      <c r="D8" s="38">
        <f>IF($F8="","",ROUNDUP($C8*$B$3,0))</f>
        <v/>
      </c>
      <c r="E8" s="4" t="n"/>
      <c r="F8" s="4">
        <f t="array" ref="F8">IFERROR(INDEX(calc!$A:$A,MATCH(3,calc!$E:$E,0)),"")</f>
        <v/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70">
      <c r="A9" s="49">
        <f>IF($F9="","",LEFT($F9,FIND("|",$F9)-1))</f>
        <v/>
      </c>
      <c r="B9" s="49">
        <f>IF($F9="","",MID($F9,FIND("|",$F9)+1,50))</f>
        <v/>
      </c>
      <c r="C9" s="51">
        <f>IF($F9="","",SUMIF(calc!$A:$A,$F9,calc!$C:$C))</f>
        <v/>
      </c>
      <c r="D9" s="53">
        <f>IF($F9="","",ROUNDUP($C9*$B$3,0))</f>
        <v/>
      </c>
      <c r="E9" s="4" t="n"/>
      <c r="F9" s="4">
        <f t="array" ref="F9">IFERROR(INDEX(calc!$A:$A,MATCH(4,calc!$E:$E,0)),"")</f>
        <v/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70">
      <c r="A10" s="54">
        <f>IF($F10="","",LEFT($F10,FIND("|",$F10)-1))</f>
        <v/>
      </c>
      <c r="B10" s="54">
        <f>IF($F10="","",MID($F10,FIND("|",$F10)+1,50))</f>
        <v/>
      </c>
      <c r="C10" s="31">
        <f>IF($F10="","",SUMIF(calc!$A:$A,$F10,calc!$C:$C))</f>
        <v/>
      </c>
      <c r="D10" s="38">
        <f>IF($F10="","",ROUNDUP($C10*$B$3,0))</f>
        <v/>
      </c>
      <c r="E10" s="4" t="n"/>
      <c r="F10" s="4">
        <f t="array" ref="F10">IFERROR(INDEX(calc!$A:$A,MATCH(5,calc!$E:$E,0)),"")</f>
        <v/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70">
      <c r="A11" s="49">
        <f>IF($F11="","",LEFT($F11,FIND("|",$F11)-1))</f>
        <v/>
      </c>
      <c r="B11" s="49">
        <f>IF($F11="","",MID($F11,FIND("|",$F11)+1,50))</f>
        <v/>
      </c>
      <c r="C11" s="51">
        <f>IF($F11="","",SUMIF(calc!$A:$A,$F11,calc!$C:$C))</f>
        <v/>
      </c>
      <c r="D11" s="53">
        <f>IF($F11="","",ROUNDUP($C11*$B$3,0))</f>
        <v/>
      </c>
      <c r="E11" s="4" t="n"/>
      <c r="F11" s="4">
        <f t="array" ref="F11">IFERROR(INDEX(calc!$A:$A,MATCH(6,calc!$E:$E,0)),"")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70">
      <c r="A12" s="54">
        <f>IF($F12="","",LEFT($F12,FIND("|",$F12)-1))</f>
        <v/>
      </c>
      <c r="B12" s="54">
        <f>IF($F12="","",MID($F12,FIND("|",$F12)+1,50))</f>
        <v/>
      </c>
      <c r="C12" s="31">
        <f>IF($F12="","",SUMIF(calc!$A:$A,$F12,calc!$C:$C))</f>
        <v/>
      </c>
      <c r="D12" s="38">
        <f>IF($F12="","",ROUNDUP($C12*$B$3,0))</f>
        <v/>
      </c>
      <c r="E12" s="4" t="n"/>
      <c r="F12" s="4">
        <f t="array" ref="F12">IFERROR(INDEX(calc!$A:$A,MATCH(7,calc!$E:$E,0)),"")</f>
        <v/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70">
      <c r="A13" s="49">
        <f>IF($F13="","",LEFT($F13,FIND("|",$F13)-1))</f>
        <v/>
      </c>
      <c r="B13" s="49">
        <f>IF($F13="","",MID($F13,FIND("|",$F13)+1,50))</f>
        <v/>
      </c>
      <c r="C13" s="51">
        <f>IF($F13="","",SUMIF(calc!$A:$A,$F13,calc!$C:$C))</f>
        <v/>
      </c>
      <c r="D13" s="53">
        <f>IF($F13="","",ROUNDUP($C13*$B$3,0))</f>
        <v/>
      </c>
      <c r="E13" s="4" t="n"/>
      <c r="F13" s="4">
        <f t="array" ref="F13">IFERROR(INDEX(calc!$A:$A,MATCH(8,calc!$E:$E,0)),"")</f>
        <v/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70">
      <c r="A14" s="54">
        <f>IF($F14="","",LEFT($F14,FIND("|",$F14)-1))</f>
        <v/>
      </c>
      <c r="B14" s="54">
        <f>IF($F14="","",MID($F14,FIND("|",$F14)+1,50))</f>
        <v/>
      </c>
      <c r="C14" s="31">
        <f>IF($F14="","",SUMIF(calc!$A:$A,$F14,calc!$C:$C))</f>
        <v/>
      </c>
      <c r="D14" s="38">
        <f>IF($F14="","",ROUNDUP($C14*$B$3,0))</f>
        <v/>
      </c>
      <c r="E14" s="4" t="n"/>
      <c r="F14" s="4">
        <f t="array" ref="F14">IFERROR(INDEX(calc!$A:$A,MATCH(9,calc!$E:$E,0)),"")</f>
        <v/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70">
      <c r="A15" s="49">
        <f>IF($F15="","",LEFT($F15,FIND("|",$F15)-1))</f>
        <v/>
      </c>
      <c r="B15" s="49">
        <f>IF($F15="","",MID($F15,FIND("|",$F15)+1,50))</f>
        <v/>
      </c>
      <c r="C15" s="51">
        <f>IF($F15="","",SUMIF(calc!$A:$A,$F15,calc!$C:$C))</f>
        <v/>
      </c>
      <c r="D15" s="53">
        <f>IF($F15="","",ROUNDUP($C15*$B$3,0))</f>
        <v/>
      </c>
      <c r="E15" s="4" t="n"/>
      <c r="F15" s="4">
        <f t="array" ref="F15">IFERROR(INDEX(calc!$A:$A,MATCH(10,calc!$E:$E,0)),"")</f>
        <v/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 s="70">
      <c r="A16" s="54">
        <f>IF($F16="","",LEFT($F16,FIND("|",$F16)-1))</f>
        <v/>
      </c>
      <c r="B16" s="54">
        <f>IF($F16="","",MID($F16,FIND("|",$F16)+1,50))</f>
        <v/>
      </c>
      <c r="C16" s="31">
        <f>IF($F16="","",SUMIF(calc!$A:$A,$F16,calc!$C:$C))</f>
        <v/>
      </c>
      <c r="D16" s="38">
        <f>IF($F16="","",ROUNDUP($C16*$B$3,0))</f>
        <v/>
      </c>
      <c r="E16" s="4" t="n"/>
      <c r="F16" s="4">
        <f t="array" ref="F16">IFERROR(INDEX(calc!$A:$A,MATCH(11,calc!$E:$E,0)),"")</f>
        <v/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70">
      <c r="A17" s="49">
        <f>IF($F17="","",LEFT($F17,FIND("|",$F17)-1))</f>
        <v/>
      </c>
      <c r="B17" s="49">
        <f>IF($F17="","",MID($F17,FIND("|",$F17)+1,50))</f>
        <v/>
      </c>
      <c r="C17" s="51">
        <f>IF($F17="","",SUMIF(calc!$A:$A,$F17,calc!$C:$C))</f>
        <v/>
      </c>
      <c r="D17" s="53">
        <f>IF($F17="","",ROUNDUP($C17*$B$3,0))</f>
        <v/>
      </c>
      <c r="E17" s="4" t="n"/>
      <c r="F17" s="4">
        <f t="array" ref="F17">IFERROR(INDEX(calc!$A:$A,MATCH(12,calc!$E:$E,0)),"")</f>
        <v/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70">
      <c r="A18" s="54">
        <f>IF($F18="","",LEFT($F18,FIND("|",$F18)-1))</f>
        <v/>
      </c>
      <c r="B18" s="54">
        <f>IF($F18="","",MID($F18,FIND("|",$F18)+1,50))</f>
        <v/>
      </c>
      <c r="C18" s="31">
        <f>IF($F18="","",SUMIF(calc!$A:$A,$F18,calc!$C:$C))</f>
        <v/>
      </c>
      <c r="D18" s="38">
        <f>IF($F18="","",ROUNDUP($C18*$B$3,0))</f>
        <v/>
      </c>
      <c r="E18" s="4" t="n"/>
      <c r="F18" s="4">
        <f t="array" ref="F18">IFERROR(INDEX(calc!$A:$A,MATCH(13,calc!$E:$E,0)),"")</f>
        <v/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 s="70">
      <c r="A19" s="49">
        <f>IF($F19="","",LEFT($F19,FIND("|",$F19)-1))</f>
        <v/>
      </c>
      <c r="B19" s="49">
        <f>IF($F19="","",MID($F19,FIND("|",$F19)+1,50))</f>
        <v/>
      </c>
      <c r="C19" s="51">
        <f>IF($F19="","",SUMIF(calc!$A:$A,$F19,calc!$C:$C))</f>
        <v/>
      </c>
      <c r="D19" s="53">
        <f>IF($F19="","",ROUNDUP($C19*$B$3,0))</f>
        <v/>
      </c>
      <c r="E19" s="4" t="n"/>
      <c r="F19" s="4">
        <f t="array" ref="F19">IFERROR(INDEX(calc!$A:$A,MATCH(14,calc!$E:$E,0)),"")</f>
        <v/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70">
      <c r="A20" s="54">
        <f>IF($F20="","",LEFT($F20,FIND("|",$F20)-1))</f>
        <v/>
      </c>
      <c r="B20" s="54">
        <f>IF($F20="","",MID($F20,FIND("|",$F20)+1,50))</f>
        <v/>
      </c>
      <c r="C20" s="31">
        <f>IF($F20="","",SUMIF(calc!$A:$A,$F20,calc!$C:$C))</f>
        <v/>
      </c>
      <c r="D20" s="38">
        <f>IF($F20="","",ROUNDUP($C20*$B$3,0))</f>
        <v/>
      </c>
      <c r="E20" s="4" t="n"/>
      <c r="F20" s="4">
        <f t="array" ref="F20">IFERROR(INDEX(calc!$A:$A,MATCH(15,calc!$E:$E,0)),"")</f>
        <v/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70">
      <c r="A21" s="49">
        <f>IF($F21="","",LEFT($F21,FIND("|",$F21)-1))</f>
        <v/>
      </c>
      <c r="B21" s="49">
        <f>IF($F21="","",MID($F21,FIND("|",$F21)+1,50))</f>
        <v/>
      </c>
      <c r="C21" s="51">
        <f>IF($F21="","",SUMIF(calc!$A:$A,$F21,calc!$C:$C))</f>
        <v/>
      </c>
      <c r="D21" s="53">
        <f>IF($F21="","",ROUNDUP($C21*$B$3,0))</f>
        <v/>
      </c>
      <c r="E21" s="4" t="n"/>
      <c r="F21" s="4">
        <f t="array" ref="F21">IFERROR(INDEX(calc!$A:$A,MATCH(16,calc!$E:$E,0)),"")</f>
        <v/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70">
      <c r="A22" s="54">
        <f>IF($F22="","",LEFT($F22,FIND("|",$F22)-1))</f>
        <v/>
      </c>
      <c r="B22" s="54">
        <f>IF($F22="","",MID($F22,FIND("|",$F22)+1,50))</f>
        <v/>
      </c>
      <c r="C22" s="31">
        <f>IF($F22="","",SUMIF(calc!$A:$A,$F22,calc!$C:$C))</f>
        <v/>
      </c>
      <c r="D22" s="38">
        <f>IF($F22="","",ROUNDUP($C22*$B$3,0))</f>
        <v/>
      </c>
      <c r="E22" s="4" t="n"/>
      <c r="F22" s="4">
        <f t="array" ref="F22">IFERROR(INDEX(calc!$A:$A,MATCH(17,calc!$E:$E,0)),"")</f>
        <v/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70">
      <c r="A23" s="49">
        <f>IF($F23="","",LEFT($F23,FIND("|",$F23)-1))</f>
        <v/>
      </c>
      <c r="B23" s="49">
        <f>IF($F23="","",MID($F23,FIND("|",$F23)+1,50))</f>
        <v/>
      </c>
      <c r="C23" s="51">
        <f>IF($F23="","",SUMIF(calc!$A:$A,$F23,calc!$C:$C))</f>
        <v/>
      </c>
      <c r="D23" s="53">
        <f>IF($F23="","",ROUNDUP($C23*$B$3,0))</f>
        <v/>
      </c>
      <c r="E23" s="4" t="n"/>
      <c r="F23" s="4">
        <f t="array" ref="F23">IFERROR(INDEX(calc!$A:$A,MATCH(18,calc!$E:$E,0)),"")</f>
        <v/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70">
      <c r="A24" s="54">
        <f>IF($F24="","",LEFT($F24,FIND("|",$F24)-1))</f>
        <v/>
      </c>
      <c r="B24" s="54">
        <f>IF($F24="","",MID($F24,FIND("|",$F24)+1,50))</f>
        <v/>
      </c>
      <c r="C24" s="31">
        <f>IF($F24="","",SUMIF(calc!$A:$A,$F24,calc!$C:$C))</f>
        <v/>
      </c>
      <c r="D24" s="38">
        <f>IF($F24="","",ROUNDUP($C24*$B$3,0))</f>
        <v/>
      </c>
      <c r="E24" s="4" t="n"/>
      <c r="F24" s="4">
        <f t="array" ref="F24">IFERROR(INDEX(calc!$A:$A,MATCH(19,calc!$E:$E,0)),"")</f>
        <v/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70">
      <c r="A25" s="49">
        <f>IF($F25="","",LEFT($F25,FIND("|",$F25)-1))</f>
        <v/>
      </c>
      <c r="B25" s="49">
        <f>IF($F25="","",MID($F25,FIND("|",$F25)+1,50))</f>
        <v/>
      </c>
      <c r="C25" s="51">
        <f>IF($F25="","",SUMIF(calc!$A:$A,$F25,calc!$C:$C))</f>
        <v/>
      </c>
      <c r="D25" s="53">
        <f>IF($F25="","",ROUNDUP($C25*$B$3,0))</f>
        <v/>
      </c>
      <c r="E25" s="4" t="n"/>
      <c r="F25" s="4">
        <f t="array" ref="F25">IFERROR(INDEX(calc!$A:$A,MATCH(20,calc!$E:$E,0)),"")</f>
        <v/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70">
      <c r="A26" s="54">
        <f>IF($F26="","",LEFT($F26,FIND("|",$F26)-1))</f>
        <v/>
      </c>
      <c r="B26" s="54">
        <f>IF($F26="","",MID($F26,FIND("|",$F26)+1,50))</f>
        <v/>
      </c>
      <c r="C26" s="31">
        <f>IF($F26="","",SUMIF(calc!$A:$A,$F26,calc!$C:$C))</f>
        <v/>
      </c>
      <c r="D26" s="38">
        <f>IF($F26="","",ROUNDUP($C26*$B$3,0))</f>
        <v/>
      </c>
      <c r="E26" s="4" t="n"/>
      <c r="F26" s="4">
        <f t="array" ref="F26">IFERROR(INDEX(calc!$A:$A,MATCH(21,calc!$E:$E,0)),"")</f>
        <v/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70">
      <c r="A27" s="49">
        <f>IF($F27="","",LEFT($F27,FIND("|",$F27)-1))</f>
        <v/>
      </c>
      <c r="B27" s="49">
        <f>IF($F27="","",MID($F27,FIND("|",$F27)+1,50))</f>
        <v/>
      </c>
      <c r="C27" s="51">
        <f>IF($F27="","",SUMIF(calc!$A:$A,$F27,calc!$C:$C))</f>
        <v/>
      </c>
      <c r="D27" s="53">
        <f>IF($F27="","",ROUNDUP($C27*$B$3,0))</f>
        <v/>
      </c>
      <c r="E27" s="4" t="n"/>
      <c r="F27" s="4">
        <f t="array" ref="F27">IFERROR(INDEX(calc!$A:$A,MATCH(22,calc!$E:$E,0)),"")</f>
        <v/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70">
      <c r="A28" s="54">
        <f>IF($F28="","",LEFT($F28,FIND("|",$F28)-1))</f>
        <v/>
      </c>
      <c r="B28" s="54">
        <f>IF($F28="","",MID($F28,FIND("|",$F28)+1,50))</f>
        <v/>
      </c>
      <c r="C28" s="31">
        <f>IF($F28="","",SUMIF(calc!$A:$A,$F28,calc!$C:$C))</f>
        <v/>
      </c>
      <c r="D28" s="38">
        <f>IF($F28="","",ROUNDUP($C28*$B$3,0))</f>
        <v/>
      </c>
      <c r="E28" s="4" t="n"/>
      <c r="F28" s="4">
        <f t="array" ref="F28">IFERROR(INDEX(calc!$A:$A,MATCH(23,calc!$E:$E,0)),"")</f>
        <v/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70">
      <c r="A29" s="49">
        <f>IF($F29="","",LEFT($F29,FIND("|",$F29)-1))</f>
        <v/>
      </c>
      <c r="B29" s="49">
        <f>IF($F29="","",MID($F29,FIND("|",$F29)+1,50))</f>
        <v/>
      </c>
      <c r="C29" s="51">
        <f>IF($F29="","",SUMIF(calc!$A:$A,$F29,calc!$C:$C))</f>
        <v/>
      </c>
      <c r="D29" s="53">
        <f>IF($F29="","",ROUNDUP($C29*$B$3,0))</f>
        <v/>
      </c>
      <c r="E29" s="4" t="n"/>
      <c r="F29" s="4">
        <f t="array" ref="F29">IFERROR(INDEX(calc!$A:$A,MATCH(24,calc!$E:$E,0)),"")</f>
        <v/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70">
      <c r="A30" s="54">
        <f>IF($F30="","",LEFT($F30,FIND("|",$F30)-1))</f>
        <v/>
      </c>
      <c r="B30" s="54">
        <f>IF($F30="","",MID($F30,FIND("|",$F30)+1,50))</f>
        <v/>
      </c>
      <c r="C30" s="31">
        <f>IF($F30="","",SUMIF(calc!$A:$A,$F30,calc!$C:$C))</f>
        <v/>
      </c>
      <c r="D30" s="38">
        <f>IF($F30="","",ROUNDUP($C30*$B$3,0))</f>
        <v/>
      </c>
      <c r="E30" s="4" t="n"/>
      <c r="F30" s="4">
        <f t="array" ref="F30">IFERROR(INDEX(calc!$A:$A,MATCH(25,calc!$E:$E,0)),"")</f>
        <v/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70">
      <c r="A31" s="49">
        <f>IF($F31="","",LEFT($F31,FIND("|",$F31)-1))</f>
        <v/>
      </c>
      <c r="B31" s="49">
        <f>IF($F31="","",MID($F31,FIND("|",$F31)+1,50))</f>
        <v/>
      </c>
      <c r="C31" s="51">
        <f>IF($F31="","",SUMIF(calc!$A:$A,$F31,calc!$C:$C))</f>
        <v/>
      </c>
      <c r="D31" s="53">
        <f>IF($F31="","",ROUNDUP($C31*$B$3,0))</f>
        <v/>
      </c>
      <c r="E31" s="4" t="n"/>
      <c r="F31" s="4">
        <f t="array" ref="F31">IFERROR(INDEX(calc!$A:$A,MATCH(26,calc!$E:$E,0)),"")</f>
        <v/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70">
      <c r="A32" s="54">
        <f>IF($F32="","",LEFT($F32,FIND("|",$F32)-1))</f>
        <v/>
      </c>
      <c r="B32" s="54">
        <f>IF($F32="","",MID($F32,FIND("|",$F32)+1,50))</f>
        <v/>
      </c>
      <c r="C32" s="31">
        <f>IF($F32="","",SUMIF(calc!$A:$A,$F32,calc!$C:$C))</f>
        <v/>
      </c>
      <c r="D32" s="38">
        <f>IF($F32="","",ROUNDUP($C32*$B$3,0))</f>
        <v/>
      </c>
      <c r="E32" s="4" t="n"/>
      <c r="F32" s="4">
        <f t="array" ref="F32">IFERROR(INDEX(calc!$A:$A,MATCH(27,calc!$E:$E,0)),"")</f>
        <v/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70">
      <c r="A33" s="49">
        <f>IF($F33="","",LEFT($F33,FIND("|",$F33)-1))</f>
        <v/>
      </c>
      <c r="B33" s="49">
        <f>IF($F33="","",MID($F33,FIND("|",$F33)+1,50))</f>
        <v/>
      </c>
      <c r="C33" s="51">
        <f>IF($F33="","",SUMIF(calc!$A:$A,$F33,calc!$C:$C))</f>
        <v/>
      </c>
      <c r="D33" s="53">
        <f>IF($F33="","",ROUNDUP($C33*$B$3,0))</f>
        <v/>
      </c>
      <c r="E33" s="4" t="n"/>
      <c r="F33" s="4">
        <f t="array" ref="F33">IFERROR(INDEX(calc!$A:$A,MATCH(28,calc!$E:$E,0)),"")</f>
        <v/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70">
      <c r="A34" s="54">
        <f>IF($F34="","",LEFT($F34,FIND("|",$F34)-1))</f>
        <v/>
      </c>
      <c r="B34" s="54">
        <f>IF($F34="","",MID($F34,FIND("|",$F34)+1,50))</f>
        <v/>
      </c>
      <c r="C34" s="31">
        <f>IF($F34="","",SUMIF(calc!$A:$A,$F34,calc!$C:$C))</f>
        <v/>
      </c>
      <c r="D34" s="38">
        <f>IF($F34="","",ROUNDUP($C34*$B$3,0))</f>
        <v/>
      </c>
      <c r="E34" s="4" t="n"/>
      <c r="F34" s="4">
        <f t="array" ref="F34">IFERROR(INDEX(calc!$A:$A,MATCH(29,calc!$E:$E,0)),"")</f>
        <v/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70">
      <c r="A35" s="49">
        <f>IF($F35="","",LEFT($F35,FIND("|",$F35)-1))</f>
        <v/>
      </c>
      <c r="B35" s="49">
        <f>IF($F35="","",MID($F35,FIND("|",$F35)+1,50))</f>
        <v/>
      </c>
      <c r="C35" s="51">
        <f>IF($F35="","",SUMIF(calc!$A:$A,$F35,calc!$C:$C))</f>
        <v/>
      </c>
      <c r="D35" s="53">
        <f>IF($F35="","",ROUNDUP($C35*$B$3,0))</f>
        <v/>
      </c>
      <c r="E35" s="4" t="n"/>
      <c r="F35" s="4">
        <f t="array" ref="F35">IFERROR(INDEX(calc!$A:$A,MATCH(30,calc!$E:$E,0)),"")</f>
        <v/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70">
      <c r="A36" s="54">
        <f>IF($F36="","",LEFT($F36,FIND("|",$F36)-1))</f>
        <v/>
      </c>
      <c r="B36" s="54">
        <f>IF($F36="","",MID($F36,FIND("|",$F36)+1,50))</f>
        <v/>
      </c>
      <c r="C36" s="31">
        <f>IF($F36="","",SUMIF(calc!$A:$A,$F36,calc!$C:$C))</f>
        <v/>
      </c>
      <c r="D36" s="38">
        <f>IF($F36="","",ROUNDUP($C36*$B$3,0))</f>
        <v/>
      </c>
      <c r="E36" s="4" t="n"/>
      <c r="F36" s="4">
        <f t="array" ref="F36">IFERROR(INDEX(calc!$A:$A,MATCH(31,calc!$E:$E,0)),"")</f>
        <v/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70">
      <c r="A37" s="49">
        <f>IF($F37="","",LEFT($F37,FIND("|",$F37)-1))</f>
        <v/>
      </c>
      <c r="B37" s="49">
        <f>IF($F37="","",MID($F37,FIND("|",$F37)+1,50))</f>
        <v/>
      </c>
      <c r="C37" s="51">
        <f>IF($F37="","",SUMIF(calc!$A:$A,$F37,calc!$C:$C))</f>
        <v/>
      </c>
      <c r="D37" s="53">
        <f>IF($F37="","",ROUNDUP($C37*$B$3,0))</f>
        <v/>
      </c>
      <c r="E37" s="4" t="n"/>
      <c r="F37" s="4">
        <f t="array" ref="F37">IFERROR(INDEX(calc!$A:$A,MATCH(32,calc!$E:$E,0)),"")</f>
        <v/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70">
      <c r="A38" s="54">
        <f>IF($F38="","",LEFT($F38,FIND("|",$F38)-1))</f>
        <v/>
      </c>
      <c r="B38" s="54">
        <f>IF($F38="","",MID($F38,FIND("|",$F38)+1,50))</f>
        <v/>
      </c>
      <c r="C38" s="31">
        <f>IF($F38="","",SUMIF(calc!$A:$A,$F38,calc!$C:$C))</f>
        <v/>
      </c>
      <c r="D38" s="38">
        <f>IF($F38="","",ROUNDUP($C38*$B$3,0))</f>
        <v/>
      </c>
      <c r="E38" s="4" t="n"/>
      <c r="F38" s="4">
        <f t="array" ref="F38">IFERROR(INDEX(calc!$A:$A,MATCH(33,calc!$E:$E,0)),"")</f>
        <v/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70">
      <c r="A39" s="49">
        <f>IF($F39="","",LEFT($F39,FIND("|",$F39)-1))</f>
        <v/>
      </c>
      <c r="B39" s="49">
        <f>IF($F39="","",MID($F39,FIND("|",$F39)+1,50))</f>
        <v/>
      </c>
      <c r="C39" s="51">
        <f>IF($F39="","",SUMIF(calc!$A:$A,$F39,calc!$C:$C))</f>
        <v/>
      </c>
      <c r="D39" s="53">
        <f>IF($F39="","",ROUNDUP($C39*$B$3,0))</f>
        <v/>
      </c>
      <c r="E39" s="4" t="n"/>
      <c r="F39" s="4">
        <f t="array" ref="F39">IFERROR(INDEX(calc!$A:$A,MATCH(34,calc!$E:$E,0)),"")</f>
        <v/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70">
      <c r="A40" s="54">
        <f>IF($F40="","",LEFT($F40,FIND("|",$F40)-1))</f>
        <v/>
      </c>
      <c r="B40" s="54">
        <f>IF($F40="","",MID($F40,FIND("|",$F40)+1,50))</f>
        <v/>
      </c>
      <c r="C40" s="31">
        <f>IF($F40="","",SUMIF(calc!$A:$A,$F40,calc!$C:$C))</f>
        <v/>
      </c>
      <c r="D40" s="38">
        <f>IF($F40="","",ROUNDUP($C40*$B$3,0))</f>
        <v/>
      </c>
      <c r="E40" s="4" t="n"/>
      <c r="F40" s="4">
        <f t="array" ref="F40">IFERROR(INDEX(calc!$A:$A,MATCH(35,calc!$E:$E,0)),"")</f>
        <v/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70">
      <c r="A41" s="49">
        <f>IF($F41="","",LEFT($F41,FIND("|",$F41)-1))</f>
        <v/>
      </c>
      <c r="B41" s="49">
        <f>IF($F41="","",MID($F41,FIND("|",$F41)+1,50))</f>
        <v/>
      </c>
      <c r="C41" s="51">
        <f>IF($F41="","",SUMIF(calc!$A:$A,$F41,calc!$C:$C))</f>
        <v/>
      </c>
      <c r="D41" s="53">
        <f>IF($F41="","",ROUNDUP($C41*$B$3,0))</f>
        <v/>
      </c>
      <c r="E41" s="4" t="n"/>
      <c r="F41" s="4">
        <f t="array" ref="F41">IFERROR(INDEX(calc!$A:$A,MATCH(36,calc!$E:$E,0)),"")</f>
        <v/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70">
      <c r="A42" s="54">
        <f>IF($F42="","",LEFT($F42,FIND("|",$F42)-1))</f>
        <v/>
      </c>
      <c r="B42" s="54">
        <f>IF($F42="","",MID($F42,FIND("|",$F42)+1,50))</f>
        <v/>
      </c>
      <c r="C42" s="31">
        <f>IF($F42="","",SUMIF(calc!$A:$A,$F42,calc!$C:$C))</f>
        <v/>
      </c>
      <c r="D42" s="38">
        <f>IF($F42="","",ROUNDUP($C42*$B$3,0))</f>
        <v/>
      </c>
      <c r="E42" s="4" t="n"/>
      <c r="F42" s="4">
        <f t="array" ref="F42">IFERROR(INDEX(calc!$A:$A,MATCH(37,calc!$E:$E,0)),"")</f>
        <v/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70">
      <c r="A43" s="49">
        <f>IF($F43="","",LEFT($F43,FIND("|",$F43)-1))</f>
        <v/>
      </c>
      <c r="B43" s="49">
        <f>IF($F43="","",MID($F43,FIND("|",$F43)+1,50))</f>
        <v/>
      </c>
      <c r="C43" s="51">
        <f>IF($F43="","",SUMIF(calc!$A:$A,$F43,calc!$C:$C))</f>
        <v/>
      </c>
      <c r="D43" s="53">
        <f>IF($F43="","",ROUNDUP($C43*$B$3,0))</f>
        <v/>
      </c>
      <c r="E43" s="4" t="n"/>
      <c r="F43" s="4">
        <f t="array" ref="F43">IFERROR(INDEX(calc!$A:$A,MATCH(38,calc!$E:$E,0)),"")</f>
        <v/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70">
      <c r="A44" s="54">
        <f>IF($F44="","",LEFT($F44,FIND("|",$F44)-1))</f>
        <v/>
      </c>
      <c r="B44" s="54">
        <f>IF($F44="","",MID($F44,FIND("|",$F44)+1,50))</f>
        <v/>
      </c>
      <c r="C44" s="31">
        <f>IF($F44="","",SUMIF(calc!$A:$A,$F44,calc!$C:$C))</f>
        <v/>
      </c>
      <c r="D44" s="38">
        <f>IF($F44="","",ROUNDUP($C44*$B$3,0))</f>
        <v/>
      </c>
      <c r="E44" s="4" t="n"/>
      <c r="F44" s="4">
        <f t="array" ref="F44">IFERROR(INDEX(calc!$A:$A,MATCH(39,calc!$E:$E,0)),"")</f>
        <v/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70">
      <c r="A45" s="49">
        <f>IF($F45="","",LEFT($F45,FIND("|",$F45)-1))</f>
        <v/>
      </c>
      <c r="B45" s="49">
        <f>IF($F45="","",MID($F45,FIND("|",$F45)+1,50))</f>
        <v/>
      </c>
      <c r="C45" s="51">
        <f>IF($F45="","",SUMIF(calc!$A:$A,$F45,calc!$C:$C))</f>
        <v/>
      </c>
      <c r="D45" s="53">
        <f>IF($F45="","",ROUNDUP($C45*$B$3,0))</f>
        <v/>
      </c>
      <c r="E45" s="4" t="n"/>
      <c r="F45" s="4">
        <f t="array" ref="F45">IFERROR(INDEX(calc!$A:$A,MATCH(40,calc!$E:$E,0)),"")</f>
        <v/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70">
      <c r="A46" s="54">
        <f>IF($F46="","",LEFT($F46,FIND("|",$F46)-1))</f>
        <v/>
      </c>
      <c r="B46" s="54">
        <f>IF($F46="","",MID($F46,FIND("|",$F46)+1,50))</f>
        <v/>
      </c>
      <c r="C46" s="31">
        <f>IF($F46="","",SUMIF(calc!$A:$A,$F46,calc!$C:$C))</f>
        <v/>
      </c>
      <c r="D46" s="38">
        <f>IF($F46="","",ROUNDUP($C46*$B$3,0))</f>
        <v/>
      </c>
      <c r="E46" s="4" t="n"/>
      <c r="F46" s="4">
        <f t="array" ref="F46">IFERROR(INDEX(calc!$A:$A,MATCH(41,calc!$E:$E,0)),"")</f>
        <v/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70">
      <c r="A47" s="49">
        <f>IF($F47="","",LEFT($F47,FIND("|",$F47)-1))</f>
        <v/>
      </c>
      <c r="B47" s="49">
        <f>IF($F47="","",MID($F47,FIND("|",$F47)+1,50))</f>
        <v/>
      </c>
      <c r="C47" s="51">
        <f>IF($F47="","",SUMIF(calc!$A:$A,$F47,calc!$C:$C))</f>
        <v/>
      </c>
      <c r="D47" s="53">
        <f>IF($F47="","",ROUNDUP($C47*$B$3,0))</f>
        <v/>
      </c>
      <c r="E47" s="4" t="n"/>
      <c r="F47" s="4">
        <f t="array" ref="F47">IFERROR(INDEX(calc!$A:$A,MATCH(42,calc!$E:$E,0)),"")</f>
        <v/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70">
      <c r="A48" s="54">
        <f>IF($F48="","",LEFT($F48,FIND("|",$F48)-1))</f>
        <v/>
      </c>
      <c r="B48" s="54">
        <f>IF($F48="","",MID($F48,FIND("|",$F48)+1,50))</f>
        <v/>
      </c>
      <c r="C48" s="31">
        <f>IF($F48="","",SUMIF(calc!$A:$A,$F48,calc!$C:$C))</f>
        <v/>
      </c>
      <c r="D48" s="38">
        <f>IF($F48="","",ROUNDUP($C48*$B$3,0))</f>
        <v/>
      </c>
      <c r="E48" s="4" t="n"/>
      <c r="F48" s="4">
        <f t="array" ref="F48">IFERROR(INDEX(calc!$A:$A,MATCH(43,calc!$E:$E,0)),"")</f>
        <v/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70">
      <c r="A49" s="49">
        <f>IF($F49="","",LEFT($F49,FIND("|",$F49)-1))</f>
        <v/>
      </c>
      <c r="B49" s="49">
        <f>IF($F49="","",MID($F49,FIND("|",$F49)+1,50))</f>
        <v/>
      </c>
      <c r="C49" s="51">
        <f>IF($F49="","",SUMIF(calc!$A:$A,$F49,calc!$C:$C))</f>
        <v/>
      </c>
      <c r="D49" s="53">
        <f>IF($F49="","",ROUNDUP($C49*$B$3,0))</f>
        <v/>
      </c>
      <c r="E49" s="4" t="n"/>
      <c r="F49" s="4">
        <f t="array" ref="F49">IFERROR(INDEX(calc!$A:$A,MATCH(44,calc!$E:$E,0)),"")</f>
        <v/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70">
      <c r="A50" s="54">
        <f>IF($F50="","",LEFT($F50,FIND("|",$F50)-1))</f>
        <v/>
      </c>
      <c r="B50" s="54">
        <f>IF($F50="","",MID($F50,FIND("|",$F50)+1,50))</f>
        <v/>
      </c>
      <c r="C50" s="31">
        <f>IF($F50="","",SUMIF(calc!$A:$A,$F50,calc!$C:$C))</f>
        <v/>
      </c>
      <c r="D50" s="38">
        <f>IF($F50="","",ROUNDUP($C50*$B$3,0))</f>
        <v/>
      </c>
      <c r="E50" s="4" t="n"/>
      <c r="F50" s="4">
        <f t="array" ref="F50">IFERROR(INDEX(calc!$A:$A,MATCH(45,calc!$E:$E,0)),"")</f>
        <v/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70">
      <c r="A51" s="49">
        <f>IF($F51="","",LEFT($F51,FIND("|",$F51)-1))</f>
        <v/>
      </c>
      <c r="B51" s="49">
        <f>IF($F51="","",MID($F51,FIND("|",$F51)+1,50))</f>
        <v/>
      </c>
      <c r="C51" s="51">
        <f>IF($F51="","",SUMIF(calc!$A:$A,$F51,calc!$C:$C))</f>
        <v/>
      </c>
      <c r="D51" s="53">
        <f>IF($F51="","",ROUNDUP($C51*$B$3,0))</f>
        <v/>
      </c>
      <c r="E51" s="4" t="n"/>
      <c r="F51" s="4">
        <f t="array" ref="F51">IFERROR(INDEX(calc!$A:$A,MATCH(46,calc!$E:$E,0)),"")</f>
        <v/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70">
      <c r="A52" s="54">
        <f>IF($F52="","",LEFT($F52,FIND("|",$F52)-1))</f>
        <v/>
      </c>
      <c r="B52" s="54">
        <f>IF($F52="","",MID($F52,FIND("|",$F52)+1,50))</f>
        <v/>
      </c>
      <c r="C52" s="31">
        <f>IF($F52="","",SUMIF(calc!$A:$A,$F52,calc!$C:$C))</f>
        <v/>
      </c>
      <c r="D52" s="38">
        <f>IF($F52="","",ROUNDUP($C52*$B$3,0))</f>
        <v/>
      </c>
      <c r="E52" s="4" t="n"/>
      <c r="F52" s="4">
        <f t="array" ref="F52">IFERROR(INDEX(calc!$A:$A,MATCH(47,calc!$E:$E,0)),"")</f>
        <v/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70">
      <c r="A53" s="49">
        <f>IF($F53="","",LEFT($F53,FIND("|",$F53)-1))</f>
        <v/>
      </c>
      <c r="B53" s="49">
        <f>IF($F53="","",MID($F53,FIND("|",$F53)+1,50))</f>
        <v/>
      </c>
      <c r="C53" s="51">
        <f>IF($F53="","",SUMIF(calc!$A:$A,$F53,calc!$C:$C))</f>
        <v/>
      </c>
      <c r="D53" s="53">
        <f>IF($F53="","",ROUNDUP($C53*$B$3,0))</f>
        <v/>
      </c>
      <c r="E53" s="4" t="n"/>
      <c r="F53" s="4">
        <f t="array" ref="F53">IFERROR(INDEX(calc!$A:$A,MATCH(48,calc!$E:$E,0)),"")</f>
        <v/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70">
      <c r="A54" s="54">
        <f>IF($F54="","",LEFT($F54,FIND("|",$F54)-1))</f>
        <v/>
      </c>
      <c r="B54" s="54">
        <f>IF($F54="","",MID($F54,FIND("|",$F54)+1,50))</f>
        <v/>
      </c>
      <c r="C54" s="31">
        <f>IF($F54="","",SUMIF(calc!$A:$A,$F54,calc!$C:$C))</f>
        <v/>
      </c>
      <c r="D54" s="38">
        <f>IF($F54="","",ROUNDUP($C54*$B$3,0))</f>
        <v/>
      </c>
      <c r="E54" s="4" t="n"/>
      <c r="F54" s="4">
        <f t="array" ref="F54">IFERROR(INDEX(calc!$A:$A,MATCH(49,calc!$E:$E,0)),"")</f>
        <v/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70">
      <c r="A55" s="49">
        <f>IF($F55="","",LEFT($F55,FIND("|",$F55)-1))</f>
        <v/>
      </c>
      <c r="B55" s="49">
        <f>IF($F55="","",MID($F55,FIND("|",$F55)+1,50))</f>
        <v/>
      </c>
      <c r="C55" s="51">
        <f>IF($F55="","",SUMIF(calc!$A:$A,$F55,calc!$C:$C))</f>
        <v/>
      </c>
      <c r="D55" s="53">
        <f>IF($F55="","",ROUNDUP($C55*$B$3,0))</f>
        <v/>
      </c>
      <c r="E55" s="4" t="n"/>
      <c r="F55" s="4">
        <f t="array" ref="F55">IFERROR(INDEX(calc!$A:$A,MATCH(50,calc!$E:$E,0)),"")</f>
        <v/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70">
      <c r="A56" s="54">
        <f>IF($F56="","",LEFT($F56,FIND("|",$F56)-1))</f>
        <v/>
      </c>
      <c r="B56" s="54">
        <f>IF($F56="","",MID($F56,FIND("|",$F56)+1,50))</f>
        <v/>
      </c>
      <c r="C56" s="31">
        <f>IF($F56="","",SUMIF(calc!$A:$A,$F56,calc!$C:$C))</f>
        <v/>
      </c>
      <c r="D56" s="38">
        <f>IF($F56="","",ROUNDUP($C56*$B$3,0))</f>
        <v/>
      </c>
      <c r="E56" s="4" t="n"/>
      <c r="F56" s="4">
        <f t="array" ref="F56">IFERROR(INDEX(calc!$A:$A,MATCH(51,calc!$E:$E,0)),"")</f>
        <v/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70">
      <c r="A57" s="49">
        <f>IF($F57="","",LEFT($F57,FIND("|",$F57)-1))</f>
        <v/>
      </c>
      <c r="B57" s="49">
        <f>IF($F57="","",MID($F57,FIND("|",$F57)+1,50))</f>
        <v/>
      </c>
      <c r="C57" s="51">
        <f>IF($F57="","",SUMIF(calc!$A:$A,$F57,calc!$C:$C))</f>
        <v/>
      </c>
      <c r="D57" s="53">
        <f>IF($F57="","",ROUNDUP($C57*$B$3,0))</f>
        <v/>
      </c>
      <c r="E57" s="4" t="n"/>
      <c r="F57" s="4">
        <f t="array" ref="F57">IFERROR(INDEX(calc!$A:$A,MATCH(52,calc!$E:$E,0)),"")</f>
        <v/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70">
      <c r="A58" s="54">
        <f>IF($F58="","",LEFT($F58,FIND("|",$F58)-1))</f>
        <v/>
      </c>
      <c r="B58" s="54">
        <f>IF($F58="","",MID($F58,FIND("|",$F58)+1,50))</f>
        <v/>
      </c>
      <c r="C58" s="31">
        <f>IF($F58="","",SUMIF(calc!$A:$A,$F58,calc!$C:$C))</f>
        <v/>
      </c>
      <c r="D58" s="38">
        <f>IF($F58="","",ROUNDUP($C58*$B$3,0))</f>
        <v/>
      </c>
      <c r="E58" s="4" t="n"/>
      <c r="F58" s="4">
        <f t="array" ref="F58">IFERROR(INDEX(calc!$A:$A,MATCH(53,calc!$E:$E,0)),"")</f>
        <v/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70">
      <c r="A59" s="49">
        <f>IF($F59="","",LEFT($F59,FIND("|",$F59)-1))</f>
        <v/>
      </c>
      <c r="B59" s="49">
        <f>IF($F59="","",MID($F59,FIND("|",$F59)+1,50))</f>
        <v/>
      </c>
      <c r="C59" s="51">
        <f>IF($F59="","",SUMIF(calc!$A:$A,$F59,calc!$C:$C))</f>
        <v/>
      </c>
      <c r="D59" s="53">
        <f>IF($F59="","",ROUNDUP($C59*$B$3,0))</f>
        <v/>
      </c>
      <c r="E59" s="4" t="n"/>
      <c r="F59" s="4">
        <f t="array" ref="F59">IFERROR(INDEX(calc!$A:$A,MATCH(54,calc!$E:$E,0)),"")</f>
        <v/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70">
      <c r="A60" s="54">
        <f>IF($F60="","",LEFT($F60,FIND("|",$F60)-1))</f>
        <v/>
      </c>
      <c r="B60" s="54">
        <f>IF($F60="","",MID($F60,FIND("|",$F60)+1,50))</f>
        <v/>
      </c>
      <c r="C60" s="31">
        <f>IF($F60="","",SUMIF(calc!$A:$A,$F60,calc!$C:$C))</f>
        <v/>
      </c>
      <c r="D60" s="38">
        <f>IF($F60="","",ROUNDUP($C60*$B$3,0))</f>
        <v/>
      </c>
      <c r="E60" s="4" t="n"/>
      <c r="F60" s="4">
        <f t="array" ref="F60">IFERROR(INDEX(calc!$A:$A,MATCH(55,calc!$E:$E,0)),"")</f>
        <v/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70">
      <c r="A61" s="49">
        <f>IF($F61="","",LEFT($F61,FIND("|",$F61)-1))</f>
        <v/>
      </c>
      <c r="B61" s="49">
        <f>IF($F61="","",MID($F61,FIND("|",$F61)+1,50))</f>
        <v/>
      </c>
      <c r="C61" s="51">
        <f>IF($F61="","",SUMIF(calc!$A:$A,$F61,calc!$C:$C))</f>
        <v/>
      </c>
      <c r="D61" s="53">
        <f>IF($F61="","",ROUNDUP($C61*$B$3,0))</f>
        <v/>
      </c>
      <c r="E61" s="4" t="n"/>
      <c r="F61" s="4">
        <f t="array" ref="F61">IFERROR(INDEX(calc!$A:$A,MATCH(56,calc!$E:$E,0)),"")</f>
        <v/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70">
      <c r="A62" s="54">
        <f>IF($F62="","",LEFT($F62,FIND("|",$F62)-1))</f>
        <v/>
      </c>
      <c r="B62" s="54">
        <f>IF($F62="","",MID($F62,FIND("|",$F62)+1,50))</f>
        <v/>
      </c>
      <c r="C62" s="31">
        <f>IF($F62="","",SUMIF(calc!$A:$A,$F62,calc!$C:$C))</f>
        <v/>
      </c>
      <c r="D62" s="38">
        <f>IF($F62="","",ROUNDUP($C62*$B$3,0))</f>
        <v/>
      </c>
      <c r="E62" s="4" t="n"/>
      <c r="F62" s="4">
        <f t="array" ref="F62">IFERROR(INDEX(calc!$A:$A,MATCH(57,calc!$E:$E,0)),"")</f>
        <v/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70">
      <c r="A63" s="49">
        <f>IF($F63="","",LEFT($F63,FIND("|",$F63)-1))</f>
        <v/>
      </c>
      <c r="B63" s="49">
        <f>IF($F63="","",MID($F63,FIND("|",$F63)+1,50))</f>
        <v/>
      </c>
      <c r="C63" s="51">
        <f>IF($F63="","",SUMIF(calc!$A:$A,$F63,calc!$C:$C))</f>
        <v/>
      </c>
      <c r="D63" s="53">
        <f>IF($F63="","",ROUNDUP($C63*$B$3,0))</f>
        <v/>
      </c>
      <c r="E63" s="4" t="n"/>
      <c r="F63" s="4">
        <f t="array" ref="F63">IFERROR(INDEX(calc!$A:$A,MATCH(58,calc!$E:$E,0)),"")</f>
        <v/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70">
      <c r="A64" s="54">
        <f>IF($F64="","",LEFT($F64,FIND("|",$F64)-1))</f>
        <v/>
      </c>
      <c r="B64" s="54">
        <f>IF($F64="","",MID($F64,FIND("|",$F64)+1,50))</f>
        <v/>
      </c>
      <c r="C64" s="31">
        <f>IF($F64="","",SUMIF(calc!$A:$A,$F64,calc!$C:$C))</f>
        <v/>
      </c>
      <c r="D64" s="38">
        <f>IF($F64="","",ROUNDUP($C64*$B$3,0))</f>
        <v/>
      </c>
      <c r="E64" s="4" t="n"/>
      <c r="F64" s="4">
        <f t="array" ref="F64">IFERROR(INDEX(calc!$A:$A,MATCH(59,calc!$E:$E,0)),"")</f>
        <v/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70">
      <c r="A65" s="49">
        <f>IF($F65="","",LEFT($F65,FIND("|",$F65)-1))</f>
        <v/>
      </c>
      <c r="B65" s="49">
        <f>IF($F65="","",MID($F65,FIND("|",$F65)+1,50))</f>
        <v/>
      </c>
      <c r="C65" s="51">
        <f>IF($F65="","",SUMIF(calc!$A:$A,$F65,calc!$C:$C))</f>
        <v/>
      </c>
      <c r="D65" s="53">
        <f>IF($F65="","",ROUNDUP($C65*$B$3,0))</f>
        <v/>
      </c>
      <c r="E65" s="4" t="n"/>
      <c r="F65" s="4">
        <f t="array" ref="F65">IFERROR(INDEX(calc!$A:$A,MATCH(60,calc!$E:$E,0)),"")</f>
        <v/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70">
      <c r="A66" s="54">
        <f>IF($F66="","",LEFT($F66,FIND("|",$F66)-1))</f>
        <v/>
      </c>
      <c r="B66" s="54">
        <f>IF($F66="","",MID($F66,FIND("|",$F66)+1,50))</f>
        <v/>
      </c>
      <c r="C66" s="31">
        <f>IF($F66="","",SUMIF(calc!$A:$A,$F66,calc!$C:$C))</f>
        <v/>
      </c>
      <c r="D66" s="38">
        <f>IF($F66="","",ROUNDUP($C66*$B$3,0))</f>
        <v/>
      </c>
      <c r="E66" s="4" t="n"/>
      <c r="F66" s="4">
        <f t="array" ref="F66">IFERROR(INDEX(calc!$A:$A,MATCH(61,calc!$E:$E,0)),"")</f>
        <v/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70">
      <c r="A67" s="49">
        <f>IF($F67="","",LEFT($F67,FIND("|",$F67)-1))</f>
        <v/>
      </c>
      <c r="B67" s="49">
        <f>IF($F67="","",MID($F67,FIND("|",$F67)+1,50))</f>
        <v/>
      </c>
      <c r="C67" s="51">
        <f>IF($F67="","",SUMIF(calc!$A:$A,$F67,calc!$C:$C))</f>
        <v/>
      </c>
      <c r="D67" s="53">
        <f>IF($F67="","",ROUNDUP($C67*$B$3,0))</f>
        <v/>
      </c>
      <c r="E67" s="4" t="n"/>
      <c r="F67" s="4">
        <f t="array" ref="F67">IFERROR(INDEX(calc!$A:$A,MATCH(62,calc!$E:$E,0)),"")</f>
        <v/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70">
      <c r="A68" s="54">
        <f>IF($F68="","",LEFT($F68,FIND("|",$F68)-1))</f>
        <v/>
      </c>
      <c r="B68" s="54">
        <f>IF($F68="","",MID($F68,FIND("|",$F68)+1,50))</f>
        <v/>
      </c>
      <c r="C68" s="31">
        <f>IF($F68="","",SUMIF(calc!$A:$A,$F68,calc!$C:$C))</f>
        <v/>
      </c>
      <c r="D68" s="38">
        <f>IF($F68="","",ROUNDUP($C68*$B$3,0))</f>
        <v/>
      </c>
      <c r="E68" s="4" t="n"/>
      <c r="F68" s="4">
        <f t="array" ref="F68">IFERROR(INDEX(calc!$A:$A,MATCH(63,calc!$E:$E,0)),"")</f>
        <v/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70">
      <c r="A69" s="49">
        <f>IF($F69="","",LEFT($F69,FIND("|",$F69)-1))</f>
        <v/>
      </c>
      <c r="B69" s="49">
        <f>IF($F69="","",MID($F69,FIND("|",$F69)+1,50))</f>
        <v/>
      </c>
      <c r="C69" s="51">
        <f>IF($F69="","",SUMIF(calc!$A:$A,$F69,calc!$C:$C))</f>
        <v/>
      </c>
      <c r="D69" s="53">
        <f>IF($F69="","",ROUNDUP($C69*$B$3,0))</f>
        <v/>
      </c>
      <c r="E69" s="4" t="n"/>
      <c r="F69" s="4">
        <f t="array" ref="F69">IFERROR(INDEX(calc!$A:$A,MATCH(64,calc!$E:$E,0)),"")</f>
        <v/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70">
      <c r="A70" s="54">
        <f>IF($F70="","",LEFT($F70,FIND("|",$F70)-1))</f>
        <v/>
      </c>
      <c r="B70" s="54">
        <f>IF($F70="","",MID($F70,FIND("|",$F70)+1,50))</f>
        <v/>
      </c>
      <c r="C70" s="31">
        <f>IF($F70="","",SUMIF(calc!$A:$A,$F70,calc!$C:$C))</f>
        <v/>
      </c>
      <c r="D70" s="38">
        <f>IF($F70="","",ROUNDUP($C70*$B$3,0))</f>
        <v/>
      </c>
      <c r="E70" s="4" t="n"/>
      <c r="F70" s="4">
        <f t="array" ref="F70">IFERROR(INDEX(calc!$A:$A,MATCH(65,calc!$E:$E,0)),"")</f>
        <v/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70">
      <c r="A71" s="49">
        <f>IF($F71="","",LEFT($F71,FIND("|",$F71)-1))</f>
        <v/>
      </c>
      <c r="B71" s="49">
        <f>IF($F71="","",MID($F71,FIND("|",$F71)+1,50))</f>
        <v/>
      </c>
      <c r="C71" s="51">
        <f>IF($F71="","",SUMIF(calc!$A:$A,$F71,calc!$C:$C))</f>
        <v/>
      </c>
      <c r="D71" s="53">
        <f>IF($F71="","",ROUNDUP($C71*$B$3,0))</f>
        <v/>
      </c>
      <c r="E71" s="4" t="n"/>
      <c r="F71" s="4">
        <f t="array" ref="F71">IFERROR(INDEX(calc!$A:$A,MATCH(66,calc!$E:$E,0)),"")</f>
        <v/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70">
      <c r="A72" s="54">
        <f>IF($F72="","",LEFT($F72,FIND("|",$F72)-1))</f>
        <v/>
      </c>
      <c r="B72" s="54">
        <f>IF($F72="","",MID($F72,FIND("|",$F72)+1,50))</f>
        <v/>
      </c>
      <c r="C72" s="31">
        <f>IF($F72="","",SUMIF(calc!$A:$A,$F72,calc!$C:$C))</f>
        <v/>
      </c>
      <c r="D72" s="38">
        <f>IF($F72="","",ROUNDUP($C72*$B$3,0))</f>
        <v/>
      </c>
      <c r="E72" s="4" t="n"/>
      <c r="F72" s="4">
        <f t="array" ref="F72">IFERROR(INDEX(calc!$A:$A,MATCH(67,calc!$E:$E,0)),"")</f>
        <v/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70">
      <c r="A73" s="49">
        <f>IF($F73="","",LEFT($F73,FIND("|",$F73)-1))</f>
        <v/>
      </c>
      <c r="B73" s="49">
        <f>IF($F73="","",MID($F73,FIND("|",$F73)+1,50))</f>
        <v/>
      </c>
      <c r="C73" s="51">
        <f>IF($F73="","",SUMIF(calc!$A:$A,$F73,calc!$C:$C))</f>
        <v/>
      </c>
      <c r="D73" s="53">
        <f>IF($F73="","",ROUNDUP($C73*$B$3,0))</f>
        <v/>
      </c>
      <c r="E73" s="4" t="n"/>
      <c r="F73" s="4">
        <f t="array" ref="F73">IFERROR(INDEX(calc!$A:$A,MATCH(68,calc!$E:$E,0)),"")</f>
        <v/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70">
      <c r="A74" s="54">
        <f>IF($F74="","",LEFT($F74,FIND("|",$F74)-1))</f>
        <v/>
      </c>
      <c r="B74" s="54">
        <f>IF($F74="","",MID($F74,FIND("|",$F74)+1,50))</f>
        <v/>
      </c>
      <c r="C74" s="31">
        <f>IF($F74="","",SUMIF(calc!$A:$A,$F74,calc!$C:$C))</f>
        <v/>
      </c>
      <c r="D74" s="38">
        <f>IF($F74="","",ROUNDUP($C74*$B$3,0))</f>
        <v/>
      </c>
      <c r="E74" s="4" t="n"/>
      <c r="F74" s="4">
        <f t="array" ref="F74">IFERROR(INDEX(calc!$A:$A,MATCH(69,calc!$E:$E,0)),"")</f>
        <v/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70">
      <c r="A75" s="49">
        <f>IF($F75="","",LEFT($F75,FIND("|",$F75)-1))</f>
        <v/>
      </c>
      <c r="B75" s="49">
        <f>IF($F75="","",MID($F75,FIND("|",$F75)+1,50))</f>
        <v/>
      </c>
      <c r="C75" s="51">
        <f>IF($F75="","",SUMIF(calc!$A:$A,$F75,calc!$C:$C))</f>
        <v/>
      </c>
      <c r="D75" s="53">
        <f>IF($F75="","",ROUNDUP($C75*$B$3,0))</f>
        <v/>
      </c>
      <c r="E75" s="4" t="n"/>
      <c r="F75" s="4">
        <f t="array" ref="F75">IFERROR(INDEX(calc!$A:$A,MATCH(70,calc!$E:$E,0)),"")</f>
        <v/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70">
      <c r="A76" s="54">
        <f>IF($F76="","",LEFT($F76,FIND("|",$F76)-1))</f>
        <v/>
      </c>
      <c r="B76" s="54">
        <f>IF($F76="","",MID($F76,FIND("|",$F76)+1,50))</f>
        <v/>
      </c>
      <c r="C76" s="31">
        <f>IF($F76="","",SUMIF(calc!$A:$A,$F76,calc!$C:$C))</f>
        <v/>
      </c>
      <c r="D76" s="38">
        <f>IF($F76="","",ROUNDUP($C76*$B$3,0))</f>
        <v/>
      </c>
      <c r="E76" s="4" t="n"/>
      <c r="F76" s="4">
        <f t="array" ref="F76">IFERROR(INDEX(calc!$A:$A,MATCH(71,calc!$E:$E,0)),"")</f>
        <v/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70">
      <c r="A77" s="49">
        <f>IF($F77="","",LEFT($F77,FIND("|",$F77)-1))</f>
        <v/>
      </c>
      <c r="B77" s="49">
        <f>IF($F77="","",MID($F77,FIND("|",$F77)+1,50))</f>
        <v/>
      </c>
      <c r="C77" s="51">
        <f>IF($F77="","",SUMIF(calc!$A:$A,$F77,calc!$C:$C))</f>
        <v/>
      </c>
      <c r="D77" s="53">
        <f>IF($F77="","",ROUNDUP($C77*$B$3,0))</f>
        <v/>
      </c>
      <c r="E77" s="4" t="n"/>
      <c r="F77" s="4">
        <f t="array" ref="F77">IFERROR(INDEX(calc!$A:$A,MATCH(72,calc!$E:$E,0)),"")</f>
        <v/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70">
      <c r="A78" s="54">
        <f>IF($F78="","",LEFT($F78,FIND("|",$F78)-1))</f>
        <v/>
      </c>
      <c r="B78" s="54">
        <f>IF($F78="","",MID($F78,FIND("|",$F78)+1,50))</f>
        <v/>
      </c>
      <c r="C78" s="31">
        <f>IF($F78="","",SUMIF(calc!$A:$A,$F78,calc!$C:$C))</f>
        <v/>
      </c>
      <c r="D78" s="38">
        <f>IF($F78="","",ROUNDUP($C78*$B$3,0))</f>
        <v/>
      </c>
      <c r="E78" s="4" t="n"/>
      <c r="F78" s="4">
        <f t="array" ref="F78">IFERROR(INDEX(calc!$A:$A,MATCH(73,calc!$E:$E,0)),"")</f>
        <v/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70">
      <c r="A79" s="49">
        <f>IF($F79="","",LEFT($F79,FIND("|",$F79)-1))</f>
        <v/>
      </c>
      <c r="B79" s="49">
        <f>IF($F79="","",MID($F79,FIND("|",$F79)+1,50))</f>
        <v/>
      </c>
      <c r="C79" s="51">
        <f>IF($F79="","",SUMIF(calc!$A:$A,$F79,calc!$C:$C))</f>
        <v/>
      </c>
      <c r="D79" s="53">
        <f>IF($F79="","",ROUNDUP($C79*$B$3,0))</f>
        <v/>
      </c>
      <c r="E79" s="4" t="n"/>
      <c r="F79" s="4">
        <f t="array" ref="F79">IFERROR(INDEX(calc!$A:$A,MATCH(74,calc!$E:$E,0)),"")</f>
        <v/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70">
      <c r="A80" s="54">
        <f>IF($F80="","",LEFT($F80,FIND("|",$F80)-1))</f>
        <v/>
      </c>
      <c r="B80" s="54">
        <f>IF($F80="","",MID($F80,FIND("|",$F80)+1,50))</f>
        <v/>
      </c>
      <c r="C80" s="31">
        <f>IF($F80="","",SUMIF(calc!$A:$A,$F80,calc!$C:$C))</f>
        <v/>
      </c>
      <c r="D80" s="38">
        <f>IF($F80="","",ROUNDUP($C80*$B$3,0))</f>
        <v/>
      </c>
      <c r="E80" s="4" t="n"/>
      <c r="F80" s="4">
        <f t="array" ref="F80">IFERROR(INDEX(calc!$A:$A,MATCH(75,calc!$E:$E,0)),"")</f>
        <v/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70">
      <c r="A81" s="49">
        <f>IF($F81="","",LEFT($F81,FIND("|",$F81)-1))</f>
        <v/>
      </c>
      <c r="B81" s="49">
        <f>IF($F81="","",MID($F81,FIND("|",$F81)+1,50))</f>
        <v/>
      </c>
      <c r="C81" s="51">
        <f>IF($F81="","",SUMIF(calc!$A:$A,$F81,calc!$C:$C))</f>
        <v/>
      </c>
      <c r="D81" s="53">
        <f>IF($F81="","",ROUNDUP($C81*$B$3,0))</f>
        <v/>
      </c>
      <c r="E81" s="4" t="n"/>
      <c r="F81" s="4">
        <f t="array" ref="F81">IFERROR(INDEX(calc!$A:$A,MATCH(76,calc!$E:$E,0)),"")</f>
        <v/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70">
      <c r="A82" s="54">
        <f>IF($F82="","",LEFT($F82,FIND("|",$F82)-1))</f>
        <v/>
      </c>
      <c r="B82" s="54">
        <f>IF($F82="","",MID($F82,FIND("|",$F82)+1,50))</f>
        <v/>
      </c>
      <c r="C82" s="31">
        <f>IF($F82="","",SUMIF(calc!$A:$A,$F82,calc!$C:$C))</f>
        <v/>
      </c>
      <c r="D82" s="38">
        <f>IF($F82="","",ROUNDUP($C82*$B$3,0))</f>
        <v/>
      </c>
      <c r="E82" s="4" t="n"/>
      <c r="F82" s="4">
        <f t="array" ref="F82">IFERROR(INDEX(calc!$A:$A,MATCH(77,calc!$E:$E,0)),"")</f>
        <v/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70">
      <c r="A83" s="49">
        <f>IF($F83="","",LEFT($F83,FIND("|",$F83)-1))</f>
        <v/>
      </c>
      <c r="B83" s="49">
        <f>IF($F83="","",MID($F83,FIND("|",$F83)+1,50))</f>
        <v/>
      </c>
      <c r="C83" s="51">
        <f>IF($F83="","",SUMIF(calc!$A:$A,$F83,calc!$C:$C))</f>
        <v/>
      </c>
      <c r="D83" s="53">
        <f>IF($F83="","",ROUNDUP($C83*$B$3,0))</f>
        <v/>
      </c>
      <c r="E83" s="4" t="n"/>
      <c r="F83" s="4">
        <f t="array" ref="F83">IFERROR(INDEX(calc!$A:$A,MATCH(78,calc!$E:$E,0)),"")</f>
        <v/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70">
      <c r="A84" s="54">
        <f>IF($F84="","",LEFT($F84,FIND("|",$F84)-1))</f>
        <v/>
      </c>
      <c r="B84" s="54">
        <f>IF($F84="","",MID($F84,FIND("|",$F84)+1,50))</f>
        <v/>
      </c>
      <c r="C84" s="31">
        <f>IF($F84="","",SUMIF(calc!$A:$A,$F84,calc!$C:$C))</f>
        <v/>
      </c>
      <c r="D84" s="38">
        <f>IF($F84="","",ROUNDUP($C84*$B$3,0))</f>
        <v/>
      </c>
      <c r="E84" s="4" t="n"/>
      <c r="F84" s="4">
        <f t="array" ref="F84">IFERROR(INDEX(calc!$A:$A,MATCH(79,calc!$E:$E,0)),"")</f>
        <v/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70">
      <c r="A85" s="49">
        <f>IF($F85="","",LEFT($F85,FIND("|",$F85)-1))</f>
        <v/>
      </c>
      <c r="B85" s="49">
        <f>IF($F85="","",MID($F85,FIND("|",$F85)+1,50))</f>
        <v/>
      </c>
      <c r="C85" s="51">
        <f>IF($F85="","",SUMIF(calc!$A:$A,$F85,calc!$C:$C))</f>
        <v/>
      </c>
      <c r="D85" s="53">
        <f>IF($F85="","",ROUNDUP($C85*$B$3,0))</f>
        <v/>
      </c>
      <c r="E85" s="4" t="n"/>
      <c r="F85" s="4">
        <f t="array" ref="F85">IFERROR(INDEX(calc!$A:$A,MATCH(80,calc!$E:$E,0)),"")</f>
        <v/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70">
      <c r="A86" s="54">
        <f>IF($F86="","",LEFT($F86,FIND("|",$F86)-1))</f>
        <v/>
      </c>
      <c r="B86" s="54">
        <f>IF($F86="","",MID($F86,FIND("|",$F86)+1,50))</f>
        <v/>
      </c>
      <c r="C86" s="31">
        <f>IF($F86="","",SUMIF(calc!$A:$A,$F86,calc!$C:$C))</f>
        <v/>
      </c>
      <c r="D86" s="38">
        <f>IF($F86="","",ROUNDUP($C86*$B$3,0))</f>
        <v/>
      </c>
      <c r="E86" s="4" t="n"/>
      <c r="F86" s="4">
        <f t="array" ref="F86">IFERROR(INDEX(calc!$A:$A,MATCH(81,calc!$E:$E,0)),"")</f>
        <v/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70">
      <c r="A87" s="49">
        <f>IF($F87="","",LEFT($F87,FIND("|",$F87)-1))</f>
        <v/>
      </c>
      <c r="B87" s="49">
        <f>IF($F87="","",MID($F87,FIND("|",$F87)+1,50))</f>
        <v/>
      </c>
      <c r="C87" s="51">
        <f>IF($F87="","",SUMIF(calc!$A:$A,$F87,calc!$C:$C))</f>
        <v/>
      </c>
      <c r="D87" s="53">
        <f>IF($F87="","",ROUNDUP($C87*$B$3,0))</f>
        <v/>
      </c>
      <c r="E87" s="4" t="n"/>
      <c r="F87" s="4">
        <f t="array" ref="F87">IFERROR(INDEX(calc!$A:$A,MATCH(82,calc!$E:$E,0)),"")</f>
        <v/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70">
      <c r="A88" s="54">
        <f>IF($F88="","",LEFT($F88,FIND("|",$F88)-1))</f>
        <v/>
      </c>
      <c r="B88" s="54">
        <f>IF($F88="","",MID($F88,FIND("|",$F88)+1,50))</f>
        <v/>
      </c>
      <c r="C88" s="31">
        <f>IF($F88="","",SUMIF(calc!$A:$A,$F88,calc!$C:$C))</f>
        <v/>
      </c>
      <c r="D88" s="38">
        <f>IF($F88="","",ROUNDUP($C88*$B$3,0))</f>
        <v/>
      </c>
      <c r="E88" s="4" t="n"/>
      <c r="F88" s="4">
        <f t="array" ref="F88">IFERROR(INDEX(calc!$A:$A,MATCH(83,calc!$E:$E,0)),"")</f>
        <v/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70">
      <c r="A89" s="49">
        <f>IF($F89="","",LEFT($F89,FIND("|",$F89)-1))</f>
        <v/>
      </c>
      <c r="B89" s="49">
        <f>IF($F89="","",MID($F89,FIND("|",$F89)+1,50))</f>
        <v/>
      </c>
      <c r="C89" s="51">
        <f>IF($F89="","",SUMIF(calc!$A:$A,$F89,calc!$C:$C))</f>
        <v/>
      </c>
      <c r="D89" s="53">
        <f>IF($F89="","",ROUNDUP($C89*$B$3,0))</f>
        <v/>
      </c>
      <c r="E89" s="4" t="n"/>
      <c r="F89" s="4">
        <f t="array" ref="F89">IFERROR(INDEX(calc!$A:$A,MATCH(84,calc!$E:$E,0)),"")</f>
        <v/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70">
      <c r="A90" s="54">
        <f>IF($F90="","",LEFT($F90,FIND("|",$F90)-1))</f>
        <v/>
      </c>
      <c r="B90" s="54">
        <f>IF($F90="","",MID($F90,FIND("|",$F90)+1,50))</f>
        <v/>
      </c>
      <c r="C90" s="31">
        <f>IF($F90="","",SUMIF(calc!$A:$A,$F90,calc!$C:$C))</f>
        <v/>
      </c>
      <c r="D90" s="38">
        <f>IF($F90="","",ROUNDUP($C90*$B$3,0))</f>
        <v/>
      </c>
      <c r="E90" s="4" t="n"/>
      <c r="F90" s="4">
        <f t="array" ref="F90">IFERROR(INDEX(calc!$A:$A,MATCH(85,calc!$E:$E,0)),"")</f>
        <v/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70">
      <c r="A91" s="49">
        <f>IF($F91="","",LEFT($F91,FIND("|",$F91)-1))</f>
        <v/>
      </c>
      <c r="B91" s="49">
        <f>IF($F91="","",MID($F91,FIND("|",$F91)+1,50))</f>
        <v/>
      </c>
      <c r="C91" s="51">
        <f>IF($F91="","",SUMIF(calc!$A:$A,$F91,calc!$C:$C))</f>
        <v/>
      </c>
      <c r="D91" s="53">
        <f>IF($F91="","",ROUNDUP($C91*$B$3,0))</f>
        <v/>
      </c>
      <c r="E91" s="4" t="n"/>
      <c r="F91" s="4">
        <f t="array" ref="F91">IFERROR(INDEX(calc!$A:$A,MATCH(86,calc!$E:$E,0)),"")</f>
        <v/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70">
      <c r="A92" s="54">
        <f>IF($F92="","",LEFT($F92,FIND("|",$F92)-1))</f>
        <v/>
      </c>
      <c r="B92" s="54">
        <f>IF($F92="","",MID($F92,FIND("|",$F92)+1,50))</f>
        <v/>
      </c>
      <c r="C92" s="31">
        <f>IF($F92="","",SUMIF(calc!$A:$A,$F92,calc!$C:$C))</f>
        <v/>
      </c>
      <c r="D92" s="38">
        <f>IF($F92="","",ROUNDUP($C92*$B$3,0))</f>
        <v/>
      </c>
      <c r="E92" s="4" t="n"/>
      <c r="F92" s="4">
        <f t="array" ref="F92">IFERROR(INDEX(calc!$A:$A,MATCH(87,calc!$E:$E,0)),"")</f>
        <v/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70">
      <c r="A93" s="49">
        <f>IF($F93="","",LEFT($F93,FIND("|",$F93)-1))</f>
        <v/>
      </c>
      <c r="B93" s="49">
        <f>IF($F93="","",MID($F93,FIND("|",$F93)+1,50))</f>
        <v/>
      </c>
      <c r="C93" s="51">
        <f>IF($F93="","",SUMIF(calc!$A:$A,$F93,calc!$C:$C))</f>
        <v/>
      </c>
      <c r="D93" s="53">
        <f>IF($F93="","",ROUNDUP($C93*$B$3,0))</f>
        <v/>
      </c>
      <c r="E93" s="4" t="n"/>
      <c r="F93" s="4">
        <f t="array" ref="F93">IFERROR(INDEX(calc!$A:$A,MATCH(88,calc!$E:$E,0)),"")</f>
        <v/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70">
      <c r="A94" s="54">
        <f>IF($F94="","",LEFT($F94,FIND("|",$F94)-1))</f>
        <v/>
      </c>
      <c r="B94" s="54">
        <f>IF($F94="","",MID($F94,FIND("|",$F94)+1,50))</f>
        <v/>
      </c>
      <c r="C94" s="31">
        <f>IF($F94="","",SUMIF(calc!$A:$A,$F94,calc!$C:$C))</f>
        <v/>
      </c>
      <c r="D94" s="38">
        <f>IF($F94="","",ROUNDUP($C94*$B$3,0))</f>
        <v/>
      </c>
      <c r="E94" s="4" t="n"/>
      <c r="F94" s="4">
        <f t="array" ref="F94">IFERROR(INDEX(calc!$A:$A,MATCH(89,calc!$E:$E,0)),"")</f>
        <v/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70">
      <c r="A95" s="49">
        <f>IF($F95="","",LEFT($F95,FIND("|",$F95)-1))</f>
        <v/>
      </c>
      <c r="B95" s="49">
        <f>IF($F95="","",MID($F95,FIND("|",$F95)+1,50))</f>
        <v/>
      </c>
      <c r="C95" s="51">
        <f>IF($F95="","",SUMIF(calc!$A:$A,$F95,calc!$C:$C))</f>
        <v/>
      </c>
      <c r="D95" s="53">
        <f>IF($F95="","",ROUNDUP($C95*$B$3,0))</f>
        <v/>
      </c>
      <c r="E95" s="4" t="n"/>
      <c r="F95" s="4">
        <f t="array" ref="F95">IFERROR(INDEX(calc!$A:$A,MATCH(90,calc!$E:$E,0)),"")</f>
        <v/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70">
      <c r="A96" s="54">
        <f>IF($F96="","",LEFT($F96,FIND("|",$F96)-1))</f>
        <v/>
      </c>
      <c r="B96" s="54">
        <f>IF($F96="","",MID($F96,FIND("|",$F96)+1,50))</f>
        <v/>
      </c>
      <c r="C96" s="31">
        <f>IF($F96="","",SUMIF(calc!$A:$A,$F96,calc!$C:$C))</f>
        <v/>
      </c>
      <c r="D96" s="38">
        <f>IF($F96="","",ROUNDUP($C96*$B$3,0))</f>
        <v/>
      </c>
      <c r="E96" s="4" t="n"/>
      <c r="F96" s="4">
        <f t="array" ref="F96">IFERROR(INDEX(calc!$A:$A,MATCH(91,calc!$E:$E,0)),"")</f>
        <v/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70">
      <c r="A97" s="49">
        <f>IF($F97="","",LEFT($F97,FIND("|",$F97)-1))</f>
        <v/>
      </c>
      <c r="B97" s="49">
        <f>IF($F97="","",MID($F97,FIND("|",$F97)+1,50))</f>
        <v/>
      </c>
      <c r="C97" s="51">
        <f>IF($F97="","",SUMIF(calc!$A:$A,$F97,calc!$C:$C))</f>
        <v/>
      </c>
      <c r="D97" s="53">
        <f>IF($F97="","",ROUNDUP($C97*$B$3,0))</f>
        <v/>
      </c>
      <c r="E97" s="4" t="n"/>
      <c r="F97" s="4">
        <f t="array" ref="F97">IFERROR(INDEX(calc!$A:$A,MATCH(92,calc!$E:$E,0)),"")</f>
        <v/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70">
      <c r="A98" s="54">
        <f>IF($F98="","",LEFT($F98,FIND("|",$F98)-1))</f>
        <v/>
      </c>
      <c r="B98" s="54">
        <f>IF($F98="","",MID($F98,FIND("|",$F98)+1,50))</f>
        <v/>
      </c>
      <c r="C98" s="31">
        <f>IF($F98="","",SUMIF(calc!$A:$A,$F98,calc!$C:$C))</f>
        <v/>
      </c>
      <c r="D98" s="38">
        <f>IF($F98="","",ROUNDUP($C98*$B$3,0))</f>
        <v/>
      </c>
      <c r="E98" s="4" t="n"/>
      <c r="F98" s="4">
        <f t="array" ref="F98">IFERROR(INDEX(calc!$A:$A,MATCH(93,calc!$E:$E,0)),"")</f>
        <v/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70">
      <c r="A99" s="49">
        <f>IF($F99="","",LEFT($F99,FIND("|",$F99)-1))</f>
        <v/>
      </c>
      <c r="B99" s="49">
        <f>IF($F99="","",MID($F99,FIND("|",$F99)+1,50))</f>
        <v/>
      </c>
      <c r="C99" s="51">
        <f>IF($F99="","",SUMIF(calc!$A:$A,$F99,calc!$C:$C))</f>
        <v/>
      </c>
      <c r="D99" s="53">
        <f>IF($F99="","",ROUNDUP($C99*$B$3,0))</f>
        <v/>
      </c>
      <c r="E99" s="4" t="n"/>
      <c r="F99" s="4">
        <f t="array" ref="F99">IFERROR(INDEX(calc!$A:$A,MATCH(94,calc!$E:$E,0)),"")</f>
        <v/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70">
      <c r="A100" s="54">
        <f>IF($F100="","",LEFT($F100,FIND("|",$F100)-1))</f>
        <v/>
      </c>
      <c r="B100" s="54">
        <f>IF($F100="","",MID($F100,FIND("|",$F100)+1,50))</f>
        <v/>
      </c>
      <c r="C100" s="31">
        <f>IF($F100="","",SUMIF(calc!$A:$A,$F100,calc!$C:$C))</f>
        <v/>
      </c>
      <c r="D100" s="38">
        <f>IF($F100="","",ROUNDUP($C100*$B$3,0))</f>
        <v/>
      </c>
      <c r="E100" s="4" t="n"/>
      <c r="F100" s="4">
        <f t="array" ref="F100">IFERROR(INDEX(calc!$A:$A,MATCH(95,calc!$E:$E,0)),"")</f>
        <v/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70">
      <c r="A101" s="49">
        <f>IF($F101="","",LEFT($F101,FIND("|",$F101)-1))</f>
        <v/>
      </c>
      <c r="B101" s="49">
        <f>IF($F101="","",MID($F101,FIND("|",$F101)+1,50))</f>
        <v/>
      </c>
      <c r="C101" s="51">
        <f>IF($F101="","",SUMIF(calc!$A:$A,$F101,calc!$C:$C))</f>
        <v/>
      </c>
      <c r="D101" s="53">
        <f>IF($F101="","",ROUNDUP($C101*$B$3,0))</f>
        <v/>
      </c>
      <c r="E101" s="4" t="n"/>
      <c r="F101" s="4">
        <f t="array" ref="F101">IFERROR(INDEX(calc!$A:$A,MATCH(96,calc!$E:$E,0)),"")</f>
        <v/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70">
      <c r="A102" s="54">
        <f>IF($F102="","",LEFT($F102,FIND("|",$F102)-1))</f>
        <v/>
      </c>
      <c r="B102" s="54">
        <f>IF($F102="","",MID($F102,FIND("|",$F102)+1,50))</f>
        <v/>
      </c>
      <c r="C102" s="31">
        <f>IF($F102="","",SUMIF(calc!$A:$A,$F102,calc!$C:$C))</f>
        <v/>
      </c>
      <c r="D102" s="38">
        <f>IF($F102="","",ROUNDUP($C102*$B$3,0))</f>
        <v/>
      </c>
      <c r="E102" s="4" t="n"/>
      <c r="F102" s="4">
        <f t="array" ref="F102">IFERROR(INDEX(calc!$A:$A,MATCH(97,calc!$E:$E,0)),"")</f>
        <v/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70">
      <c r="A103" s="49">
        <f>IF($F103="","",LEFT($F103,FIND("|",$F103)-1))</f>
        <v/>
      </c>
      <c r="B103" s="49">
        <f>IF($F103="","",MID($F103,FIND("|",$F103)+1,50))</f>
        <v/>
      </c>
      <c r="C103" s="51">
        <f>IF($F103="","",SUMIF(calc!$A:$A,$F103,calc!$C:$C))</f>
        <v/>
      </c>
      <c r="D103" s="53">
        <f>IF($F103="","",ROUNDUP($C103*$B$3,0))</f>
        <v/>
      </c>
      <c r="E103" s="4" t="n"/>
      <c r="F103" s="4">
        <f t="array" ref="F103">IFERROR(INDEX(calc!$A:$A,MATCH(98,calc!$E:$E,0)),"")</f>
        <v/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70">
      <c r="A104" s="54">
        <f>IF($F104="","",LEFT($F104,FIND("|",$F104)-1))</f>
        <v/>
      </c>
      <c r="B104" s="54">
        <f>IF($F104="","",MID($F104,FIND("|",$F104)+1,50))</f>
        <v/>
      </c>
      <c r="C104" s="31">
        <f>IF($F104="","",SUMIF(calc!$A:$A,$F104,calc!$C:$C))</f>
        <v/>
      </c>
      <c r="D104" s="38">
        <f>IF($F104="","",ROUNDUP($C104*$B$3,0))</f>
        <v/>
      </c>
      <c r="E104" s="4" t="n"/>
      <c r="F104" s="4">
        <f t="array" ref="F104">IFERROR(INDEX(calc!$A:$A,MATCH(99,calc!$E:$E,0)),"")</f>
        <v/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70">
      <c r="A105" s="49">
        <f>IF($F105="","",LEFT($F105,FIND("|",$F105)-1))</f>
        <v/>
      </c>
      <c r="B105" s="49">
        <f>IF($F105="","",MID($F105,FIND("|",$F105)+1,50))</f>
        <v/>
      </c>
      <c r="C105" s="51">
        <f>IF($F105="","",SUMIF(calc!$A:$A,$F105,calc!$C:$C))</f>
        <v/>
      </c>
      <c r="D105" s="53">
        <f>IF($F105="","",ROUNDUP($C105*$B$3,0))</f>
        <v/>
      </c>
      <c r="E105" s="4" t="n"/>
      <c r="F105" s="4">
        <f t="array" ref="F105">IFERROR(INDEX(calc!$A:$A,MATCH(100,calc!$E:$E,0)),"")</f>
        <v/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70">
      <c r="A106" s="54">
        <f>IF($F106="","",LEFT($F106,FIND("|",$F106)-1))</f>
        <v/>
      </c>
      <c r="B106" s="54">
        <f>IF($F106="","",MID($F106,FIND("|",$F106)+1,50))</f>
        <v/>
      </c>
      <c r="C106" s="31">
        <f>IF($F106="","",SUMIF(calc!$A:$A,$F106,calc!$C:$C))</f>
        <v/>
      </c>
      <c r="D106" s="38">
        <f>IF($F106="","",ROUNDUP($C106*$B$3,0))</f>
        <v/>
      </c>
      <c r="E106" s="4" t="n"/>
      <c r="F106" s="4">
        <f t="array" ref="F106">IFERROR(INDEX(calc!$A:$A,MATCH(101,calc!$E:$E,0)),"")</f>
        <v/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70">
      <c r="A107" s="49">
        <f>IF($F107="","",LEFT($F107,FIND("|",$F107)-1))</f>
        <v/>
      </c>
      <c r="B107" s="49">
        <f>IF($F107="","",MID($F107,FIND("|",$F107)+1,50))</f>
        <v/>
      </c>
      <c r="C107" s="51">
        <f>IF($F107="","",SUMIF(calc!$A:$A,$F107,calc!$C:$C))</f>
        <v/>
      </c>
      <c r="D107" s="53">
        <f>IF($F107="","",ROUNDUP($C107*$B$3,0))</f>
        <v/>
      </c>
      <c r="E107" s="4" t="n"/>
      <c r="F107" s="4">
        <f t="array" ref="F107">IFERROR(INDEX(calc!$A:$A,MATCH(102,calc!$E:$E,0)),"")</f>
        <v/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70">
      <c r="A108" s="54">
        <f>IF($F108="","",LEFT($F108,FIND("|",$F108)-1))</f>
        <v/>
      </c>
      <c r="B108" s="54">
        <f>IF($F108="","",MID($F108,FIND("|",$F108)+1,50))</f>
        <v/>
      </c>
      <c r="C108" s="31">
        <f>IF($F108="","",SUMIF(calc!$A:$A,$F108,calc!$C:$C))</f>
        <v/>
      </c>
      <c r="D108" s="38">
        <f>IF($F108="","",ROUNDUP($C108*$B$3,0))</f>
        <v/>
      </c>
      <c r="E108" s="4" t="n"/>
      <c r="F108" s="4">
        <f t="array" ref="F108">IFERROR(INDEX(calc!$A:$A,MATCH(103,calc!$E:$E,0)),"")</f>
        <v/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70">
      <c r="A109" s="49">
        <f>IF($F109="","",LEFT($F109,FIND("|",$F109)-1))</f>
        <v/>
      </c>
      <c r="B109" s="49">
        <f>IF($F109="","",MID($F109,FIND("|",$F109)+1,50))</f>
        <v/>
      </c>
      <c r="C109" s="51">
        <f>IF($F109="","",SUMIF(calc!$A:$A,$F109,calc!$C:$C))</f>
        <v/>
      </c>
      <c r="D109" s="53">
        <f>IF($F109="","",ROUNDUP($C109*$B$3,0))</f>
        <v/>
      </c>
      <c r="E109" s="4" t="n"/>
      <c r="F109" s="4">
        <f t="array" ref="F109">IFERROR(INDEX(calc!$A:$A,MATCH(104,calc!$E:$E,0)),"")</f>
        <v/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70">
      <c r="A110" s="54">
        <f>IF($F110="","",LEFT($F110,FIND("|",$F110)-1))</f>
        <v/>
      </c>
      <c r="B110" s="54">
        <f>IF($F110="","",MID($F110,FIND("|",$F110)+1,50))</f>
        <v/>
      </c>
      <c r="C110" s="31">
        <f>IF($F110="","",SUMIF(calc!$A:$A,$F110,calc!$C:$C))</f>
        <v/>
      </c>
      <c r="D110" s="38">
        <f>IF($F110="","",ROUNDUP($C110*$B$3,0))</f>
        <v/>
      </c>
      <c r="E110" s="4" t="n"/>
      <c r="F110" s="4">
        <f t="array" ref="F110">IFERROR(INDEX(calc!$A:$A,MATCH(105,calc!$E:$E,0)),"")</f>
        <v/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70">
      <c r="A111" s="49">
        <f>IF($F111="","",LEFT($F111,FIND("|",$F111)-1))</f>
        <v/>
      </c>
      <c r="B111" s="49">
        <f>IF($F111="","",MID($F111,FIND("|",$F111)+1,50))</f>
        <v/>
      </c>
      <c r="C111" s="51">
        <f>IF($F111="","",SUMIF(calc!$A:$A,$F111,calc!$C:$C))</f>
        <v/>
      </c>
      <c r="D111" s="53">
        <f>IF($F111="","",ROUNDUP($C111*$B$3,0))</f>
        <v/>
      </c>
      <c r="E111" s="4" t="n"/>
      <c r="F111" s="4">
        <f t="array" ref="F111">IFERROR(INDEX(calc!$A:$A,MATCH(106,calc!$E:$E,0)),"")</f>
        <v/>
      </c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70">
      <c r="A112" s="54">
        <f>IF($F112="","",LEFT($F112,FIND("|",$F112)-1))</f>
        <v/>
      </c>
      <c r="B112" s="54">
        <f>IF($F112="","",MID($F112,FIND("|",$F112)+1,50))</f>
        <v/>
      </c>
      <c r="C112" s="31">
        <f>IF($F112="","",SUMIF(calc!$A:$A,$F112,calc!$C:$C))</f>
        <v/>
      </c>
      <c r="D112" s="38">
        <f>IF($F112="","",ROUNDUP($C112*$B$3,0))</f>
        <v/>
      </c>
      <c r="E112" s="4" t="n"/>
      <c r="F112" s="4">
        <f t="array" ref="F112">IFERROR(INDEX(calc!$A:$A,MATCH(107,calc!$E:$E,0)),"")</f>
        <v/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70">
      <c r="A113" s="49">
        <f>IF($F113="","",LEFT($F113,FIND("|",$F113)-1))</f>
        <v/>
      </c>
      <c r="B113" s="49">
        <f>IF($F113="","",MID($F113,FIND("|",$F113)+1,50))</f>
        <v/>
      </c>
      <c r="C113" s="51">
        <f>IF($F113="","",SUMIF(calc!$A:$A,$F113,calc!$C:$C))</f>
        <v/>
      </c>
      <c r="D113" s="53">
        <f>IF($F113="","",ROUNDUP($C113*$B$3,0))</f>
        <v/>
      </c>
      <c r="E113" s="4" t="n"/>
      <c r="F113" s="4">
        <f t="array" ref="F113">IFERROR(INDEX(calc!$A:$A,MATCH(108,calc!$E:$E,0)),"")</f>
        <v/>
      </c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70">
      <c r="A114" s="54">
        <f>IF($F114="","",LEFT($F114,FIND("|",$F114)-1))</f>
        <v/>
      </c>
      <c r="B114" s="54">
        <f>IF($F114="","",MID($F114,FIND("|",$F114)+1,50))</f>
        <v/>
      </c>
      <c r="C114" s="31">
        <f>IF($F114="","",SUMIF(calc!$A:$A,$F114,calc!$C:$C))</f>
        <v/>
      </c>
      <c r="D114" s="38">
        <f>IF($F114="","",ROUNDUP($C114*$B$3,0))</f>
        <v/>
      </c>
      <c r="E114" s="4" t="n"/>
      <c r="F114" s="4">
        <f t="array" ref="F114">IFERROR(INDEX(calc!$A:$A,MATCH(109,calc!$E:$E,0)),"")</f>
        <v/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70">
      <c r="A115" s="49">
        <f>IF($F115="","",LEFT($F115,FIND("|",$F115)-1))</f>
        <v/>
      </c>
      <c r="B115" s="49">
        <f>IF($F115="","",MID($F115,FIND("|",$F115)+1,50))</f>
        <v/>
      </c>
      <c r="C115" s="51">
        <f>IF($F115="","",SUMIF(calc!$A:$A,$F115,calc!$C:$C))</f>
        <v/>
      </c>
      <c r="D115" s="53">
        <f>IF($F115="","",ROUNDUP($C115*$B$3,0))</f>
        <v/>
      </c>
      <c r="E115" s="4" t="n"/>
      <c r="F115" s="4">
        <f t="array" ref="F115">IFERROR(INDEX(calc!$A:$A,MATCH(110,calc!$E:$E,0)),"")</f>
        <v/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70">
      <c r="A116" s="54">
        <f>IF($F116="","",LEFT($F116,FIND("|",$F116)-1))</f>
        <v/>
      </c>
      <c r="B116" s="54">
        <f>IF($F116="","",MID($F116,FIND("|",$F116)+1,50))</f>
        <v/>
      </c>
      <c r="C116" s="31">
        <f>IF($F116="","",SUMIF(calc!$A:$A,$F116,calc!$C:$C))</f>
        <v/>
      </c>
      <c r="D116" s="38">
        <f>IF($F116="","",ROUNDUP($C116*$B$3,0))</f>
        <v/>
      </c>
      <c r="E116" s="4" t="n"/>
      <c r="F116" s="4">
        <f t="array" ref="F116">IFERROR(INDEX(calc!$A:$A,MATCH(111,calc!$E:$E,0)),"")</f>
        <v/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70">
      <c r="A117" s="49">
        <f>IF($F117="","",LEFT($F117,FIND("|",$F117)-1))</f>
        <v/>
      </c>
      <c r="B117" s="49">
        <f>IF($F117="","",MID($F117,FIND("|",$F117)+1,50))</f>
        <v/>
      </c>
      <c r="C117" s="51">
        <f>IF($F117="","",SUMIF(calc!$A:$A,$F117,calc!$C:$C))</f>
        <v/>
      </c>
      <c r="D117" s="53">
        <f>IF($F117="","",ROUNDUP($C117*$B$3,0))</f>
        <v/>
      </c>
      <c r="E117" s="4" t="n"/>
      <c r="F117" s="4">
        <f t="array" ref="F117">IFERROR(INDEX(calc!$A:$A,MATCH(112,calc!$E:$E,0)),"")</f>
        <v/>
      </c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70">
      <c r="A118" s="54">
        <f>IF($F118="","",LEFT($F118,FIND("|",$F118)-1))</f>
        <v/>
      </c>
      <c r="B118" s="54">
        <f>IF($F118="","",MID($F118,FIND("|",$F118)+1,50))</f>
        <v/>
      </c>
      <c r="C118" s="31">
        <f>IF($F118="","",SUMIF(calc!$A:$A,$F118,calc!$C:$C))</f>
        <v/>
      </c>
      <c r="D118" s="38">
        <f>IF($F118="","",ROUNDUP($C118*$B$3,0))</f>
        <v/>
      </c>
      <c r="E118" s="4" t="n"/>
      <c r="F118" s="4">
        <f t="array" ref="F118">IFERROR(INDEX(calc!$A:$A,MATCH(113,calc!$E:$E,0)),"")</f>
        <v/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70">
      <c r="A119" s="49">
        <f>IF($F119="","",LEFT($F119,FIND("|",$F119)-1))</f>
        <v/>
      </c>
      <c r="B119" s="49">
        <f>IF($F119="","",MID($F119,FIND("|",$F119)+1,50))</f>
        <v/>
      </c>
      <c r="C119" s="51">
        <f>IF($F119="","",SUMIF(calc!$A:$A,$F119,calc!$C:$C))</f>
        <v/>
      </c>
      <c r="D119" s="53">
        <f>IF($F119="","",ROUNDUP($C119*$B$3,0))</f>
        <v/>
      </c>
      <c r="E119" s="4" t="n"/>
      <c r="F119" s="4">
        <f t="array" ref="F119">IFERROR(INDEX(calc!$A:$A,MATCH(114,calc!$E:$E,0)),"")</f>
        <v/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70">
      <c r="A120" s="54">
        <f>IF($F120="","",LEFT($F120,FIND("|",$F120)-1))</f>
        <v/>
      </c>
      <c r="B120" s="54">
        <f>IF($F120="","",MID($F120,FIND("|",$F120)+1,50))</f>
        <v/>
      </c>
      <c r="C120" s="31">
        <f>IF($F120="","",SUMIF(calc!$A:$A,$F120,calc!$C:$C))</f>
        <v/>
      </c>
      <c r="D120" s="38">
        <f>IF($F120="","",ROUNDUP($C120*$B$3,0))</f>
        <v/>
      </c>
      <c r="E120" s="4" t="n"/>
      <c r="F120" s="4">
        <f t="array" ref="F120">IFERROR(INDEX(calc!$A:$A,MATCH(115,calc!$E:$E,0)),"")</f>
        <v/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70">
      <c r="A121" s="49">
        <f>IF($F121="","",LEFT($F121,FIND("|",$F121)-1))</f>
        <v/>
      </c>
      <c r="B121" s="49">
        <f>IF($F121="","",MID($F121,FIND("|",$F121)+1,50))</f>
        <v/>
      </c>
      <c r="C121" s="51">
        <f>IF($F121="","",SUMIF(calc!$A:$A,$F121,calc!$C:$C))</f>
        <v/>
      </c>
      <c r="D121" s="53">
        <f>IF($F121="","",ROUNDUP($C121*$B$3,0))</f>
        <v/>
      </c>
      <c r="E121" s="4" t="n"/>
      <c r="F121" s="4">
        <f t="array" ref="F121">IFERROR(INDEX(calc!$A:$A,MATCH(116,calc!$E:$E,0)),"")</f>
        <v/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70">
      <c r="A122" s="54">
        <f>IF($F122="","",LEFT($F122,FIND("|",$F122)-1))</f>
        <v/>
      </c>
      <c r="B122" s="54">
        <f>IF($F122="","",MID($F122,FIND("|",$F122)+1,50))</f>
        <v/>
      </c>
      <c r="C122" s="31">
        <f>IF($F122="","",SUMIF(calc!$A:$A,$F122,calc!$C:$C))</f>
        <v/>
      </c>
      <c r="D122" s="38">
        <f>IF($F122="","",ROUNDUP($C122*$B$3,0))</f>
        <v/>
      </c>
      <c r="E122" s="4" t="n"/>
      <c r="F122" s="4">
        <f t="array" ref="F122">IFERROR(INDEX(calc!$A:$A,MATCH(117,calc!$E:$E,0)),"")</f>
        <v/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70">
      <c r="A123" s="49">
        <f>IF($F123="","",LEFT($F123,FIND("|",$F123)-1))</f>
        <v/>
      </c>
      <c r="B123" s="49">
        <f>IF($F123="","",MID($F123,FIND("|",$F123)+1,50))</f>
        <v/>
      </c>
      <c r="C123" s="51">
        <f>IF($F123="","",SUMIF(calc!$A:$A,$F123,calc!$C:$C))</f>
        <v/>
      </c>
      <c r="D123" s="53">
        <f>IF($F123="","",ROUNDUP($C123*$B$3,0))</f>
        <v/>
      </c>
      <c r="E123" s="4" t="n"/>
      <c r="F123" s="4">
        <f t="array" ref="F123">IFERROR(INDEX(calc!$A:$A,MATCH(118,calc!$E:$E,0)),"")</f>
        <v/>
      </c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70">
      <c r="A124" s="54">
        <f>IF($F124="","",LEFT($F124,FIND("|",$F124)-1))</f>
        <v/>
      </c>
      <c r="B124" s="54">
        <f>IF($F124="","",MID($F124,FIND("|",$F124)+1,50))</f>
        <v/>
      </c>
      <c r="C124" s="31">
        <f>IF($F124="","",SUMIF(calc!$A:$A,$F124,calc!$C:$C))</f>
        <v/>
      </c>
      <c r="D124" s="38">
        <f>IF($F124="","",ROUNDUP($C124*$B$3,0))</f>
        <v/>
      </c>
      <c r="E124" s="4" t="n"/>
      <c r="F124" s="4">
        <f t="array" ref="F124">IFERROR(INDEX(calc!$A:$A,MATCH(119,calc!$E:$E,0)),"")</f>
        <v/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70">
      <c r="A125" s="49">
        <f>IF($F125="","",LEFT($F125,FIND("|",$F125)-1))</f>
        <v/>
      </c>
      <c r="B125" s="49">
        <f>IF($F125="","",MID($F125,FIND("|",$F125)+1,50))</f>
        <v/>
      </c>
      <c r="C125" s="51">
        <f>IF($F125="","",SUMIF(calc!$A:$A,$F125,calc!$C:$C))</f>
        <v/>
      </c>
      <c r="D125" s="53">
        <f>IF($F125="","",ROUNDUP($C125*$B$3,0))</f>
        <v/>
      </c>
      <c r="E125" s="4" t="n"/>
      <c r="F125" s="4">
        <f t="array" ref="F125">IFERROR(INDEX(calc!$A:$A,MATCH(120,calc!$E:$E,0)),"")</f>
        <v/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70">
      <c r="A126" s="58" t="inlineStr">
        <is>
          <t>TOTAL SPARES</t>
        </is>
      </c>
      <c r="B126" s="59" t="n"/>
      <c r="C126" s="59" t="n"/>
      <c r="D126" s="60">
        <f>SUM(D6:D125)</f>
        <v/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7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7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7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7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7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7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7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7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7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7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7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7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7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7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7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7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7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7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7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7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7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7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7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7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7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7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7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7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7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7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7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7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7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7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7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7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7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7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7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7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7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7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7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7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7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7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7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7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7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7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7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7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7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7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7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7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7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7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7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7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7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7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7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7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7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7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7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7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7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7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7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7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7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7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7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7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7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7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7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7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7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7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7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7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7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7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7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7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7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7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7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7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7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7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7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7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7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7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7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7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7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7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7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7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7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7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7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7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7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7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7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7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7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7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7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7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7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7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7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7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7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7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7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7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7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7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7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7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7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7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7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7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7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7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7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7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7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7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7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7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7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7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7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7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7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7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7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7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7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7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7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7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7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7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7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7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7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7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7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7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7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7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7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7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7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7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7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7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7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7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7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7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7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7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7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7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7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7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7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7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7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7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7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7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7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7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7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7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7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7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7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7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7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7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7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7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7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7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7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7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7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7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7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7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7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7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7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7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7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7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7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7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7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7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7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7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7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7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7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7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7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7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7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7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7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7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7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7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7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7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7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7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7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7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7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7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7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7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7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7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7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7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7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7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7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7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7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7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7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7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7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7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7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7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7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7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7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7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7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7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7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7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7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7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7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7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7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7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7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7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7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7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7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7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7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7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7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7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7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7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7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7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7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7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7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7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7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7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7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7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7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7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7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7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7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7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7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7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7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7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7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7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7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7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7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7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7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7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7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7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7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7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7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7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7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7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7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7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7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7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7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7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7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7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7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7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7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7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7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7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7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7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7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7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7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7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7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7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7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7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7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7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7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7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7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7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7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7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7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7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7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7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7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7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7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7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7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7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7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7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7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7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7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7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7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7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7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7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7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7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7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7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7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7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7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7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7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7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7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7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7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7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7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7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7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7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7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7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7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7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7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7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7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7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7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7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7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7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7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7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7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7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7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7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7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7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7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7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7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7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7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7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7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7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7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7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7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7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7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7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7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7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7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7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7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7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7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7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7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7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7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7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7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7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7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7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7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7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7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7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7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7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7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7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7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7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7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7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7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7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7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7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7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7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7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7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7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7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7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7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7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7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7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7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7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7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7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7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7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7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7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7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7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7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7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7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7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7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7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7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7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7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7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7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7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7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7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7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7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7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7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7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7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7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7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7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7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7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7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7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7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7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7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7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7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7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7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7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7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7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7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7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7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7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7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7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7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7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7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7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7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7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7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7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7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7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7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7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7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7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7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7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7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7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7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7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7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7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7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7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7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7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7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7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7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7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7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7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7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7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7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7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7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7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7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7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7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7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7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7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7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7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7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7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7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7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7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7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7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7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7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7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7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7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7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7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7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7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7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7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7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7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7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7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7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7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7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7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7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7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7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7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7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7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7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7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7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7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7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7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7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7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7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7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7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7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7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7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7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7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7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7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7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7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7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7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7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7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7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7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7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7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7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7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7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7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7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7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7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7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7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7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7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7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7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7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7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7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7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7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7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7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7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7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7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7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7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7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7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7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7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7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7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7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7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7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7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7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7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7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7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7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7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7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7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7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7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7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7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7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7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7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7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7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7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7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7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7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7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7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7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7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7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7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7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7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7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7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7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7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7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7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7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7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7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7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7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7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7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7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7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7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7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7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7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7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7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7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7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7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7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7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7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7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7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7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7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7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7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7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7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7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7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7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7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7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7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7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7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7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7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7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7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7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7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7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7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7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7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7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7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7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7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7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7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7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7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7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7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7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7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7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7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7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7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7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7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7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7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7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7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7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7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7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7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7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7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7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7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7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7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7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7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7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7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7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7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7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7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7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7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7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7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7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7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7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7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7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7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7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7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7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7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7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7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7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7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7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7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7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7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7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7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7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7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7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7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7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7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7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7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7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7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7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7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7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7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7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7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7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7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7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7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7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7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7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7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7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7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7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7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7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7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7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7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7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7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7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7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7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7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7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7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7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7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7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7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7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7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7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7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7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7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7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7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7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7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7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7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7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7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7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7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7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7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1:D1"/>
    <mergeCell ref="C3:D3"/>
  </mergeCells>
  <pageMargins left="0.75" right="0.75" top="1" bottom="1" header="0" footer="0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4" customWidth="1" style="70" min="1" max="1"/>
    <col width="9" customWidth="1" style="70" min="2" max="2"/>
    <col width="12" customWidth="1" style="70" min="3" max="3"/>
    <col width="10" customWidth="1" style="70" min="4" max="4"/>
    <col width="12" customWidth="1" style="70" min="5" max="5"/>
    <col width="8.710000000000001" customWidth="1" style="70" min="6" max="7"/>
    <col hidden="1" width="13" customWidth="1" style="70" min="8" max="8"/>
  </cols>
  <sheetData>
    <row r="1" ht="30" customHeight="1" s="70">
      <c r="A1" s="3" t="inlineStr">
        <is>
          <t>TOTALS  -  SHOP PULL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70">
      <c r="A2" s="6" t="inlineStr">
        <is>
          <t>Builds itself from every position on the Pull Sheet. Only lists cables you actually have. Spares = qty x spare %.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70">
      <c r="A4" s="7" t="inlineStr">
        <is>
          <t>Cable Type</t>
        </is>
      </c>
      <c r="B4" s="7" t="inlineStr">
        <is>
          <t>Length</t>
        </is>
      </c>
      <c r="C4" s="7" t="inlineStr">
        <is>
          <t>Qty</t>
        </is>
      </c>
      <c r="D4" s="7" t="inlineStr">
        <is>
          <t>Spares</t>
        </is>
      </c>
      <c r="E4" s="7" t="inlineStr">
        <is>
          <t>TOTAL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70">
      <c r="A5" s="54">
        <f>IF($H5="","",LEFT($H5,FIND("|",$H5)-1))</f>
        <v/>
      </c>
      <c r="B5" s="54">
        <f>IF($H5="","",MID($H5,FIND("|",$H5)+1,50))</f>
        <v/>
      </c>
      <c r="C5" s="31">
        <f>IF($H5="","",SUMIF(calc!$A:$A,$H5,calc!$C:$C))</f>
        <v/>
      </c>
      <c r="D5" s="31">
        <f>IF($H5="","",ROUNDUP($C5*Spares!$B$3,0))</f>
        <v/>
      </c>
      <c r="E5" s="38">
        <f>IF($H5="","",$C5+$D5)</f>
        <v/>
      </c>
      <c r="F5" s="4" t="n"/>
      <c r="G5" s="4" t="n"/>
      <c r="H5" s="4">
        <f t="array" ref="H5">IFERROR(INDEX(calc!$A:$A,MATCH(1,calc!$E:$E,0)),"")</f>
        <v/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70">
      <c r="A6" s="49">
        <f>IF($H6="","",LEFT($H6,FIND("|",$H6)-1))</f>
        <v/>
      </c>
      <c r="B6" s="49">
        <f>IF($H6="","",MID($H6,FIND("|",$H6)+1,50))</f>
        <v/>
      </c>
      <c r="C6" s="51">
        <f>IF($H6="","",SUMIF(calc!$A:$A,$H6,calc!$C:$C))</f>
        <v/>
      </c>
      <c r="D6" s="51">
        <f>IF($H6="","",ROUNDUP($C6*Spares!$B$3,0))</f>
        <v/>
      </c>
      <c r="E6" s="53">
        <f>IF($H6="","",$C6+$D6)</f>
        <v/>
      </c>
      <c r="F6" s="4" t="n"/>
      <c r="G6" s="4" t="n"/>
      <c r="H6" s="4">
        <f t="array" ref="H6">IFERROR(INDEX(calc!$A:$A,MATCH(2,calc!$E:$E,0)),"")</f>
        <v/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70">
      <c r="A7" s="54">
        <f>IF($H7="","",LEFT($H7,FIND("|",$H7)-1))</f>
        <v/>
      </c>
      <c r="B7" s="54">
        <f>IF($H7="","",MID($H7,FIND("|",$H7)+1,50))</f>
        <v/>
      </c>
      <c r="C7" s="31">
        <f>IF($H7="","",SUMIF(calc!$A:$A,$H7,calc!$C:$C))</f>
        <v/>
      </c>
      <c r="D7" s="31">
        <f>IF($H7="","",ROUNDUP($C7*Spares!$B$3,0))</f>
        <v/>
      </c>
      <c r="E7" s="38">
        <f>IF($H7="","",$C7+$D7)</f>
        <v/>
      </c>
      <c r="F7" s="4" t="n"/>
      <c r="G7" s="4" t="n"/>
      <c r="H7" s="4">
        <f t="array" ref="H7">IFERROR(INDEX(calc!$A:$A,MATCH(3,calc!$E:$E,0)),"")</f>
        <v/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70">
      <c r="A8" s="49">
        <f>IF($H8="","",LEFT($H8,FIND("|",$H8)-1))</f>
        <v/>
      </c>
      <c r="B8" s="49">
        <f>IF($H8="","",MID($H8,FIND("|",$H8)+1,50))</f>
        <v/>
      </c>
      <c r="C8" s="51">
        <f>IF($H8="","",SUMIF(calc!$A:$A,$H8,calc!$C:$C))</f>
        <v/>
      </c>
      <c r="D8" s="51">
        <f>IF($H8="","",ROUNDUP($C8*Spares!$B$3,0))</f>
        <v/>
      </c>
      <c r="E8" s="53">
        <f>IF($H8="","",$C8+$D8)</f>
        <v/>
      </c>
      <c r="F8" s="4" t="n"/>
      <c r="G8" s="4" t="n"/>
      <c r="H8" s="4">
        <f t="array" ref="H8">IFERROR(INDEX(calc!$A:$A,MATCH(4,calc!$E:$E,0)),"")</f>
        <v/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70">
      <c r="A9" s="54">
        <f>IF($H9="","",LEFT($H9,FIND("|",$H9)-1))</f>
        <v/>
      </c>
      <c r="B9" s="54">
        <f>IF($H9="","",MID($H9,FIND("|",$H9)+1,50))</f>
        <v/>
      </c>
      <c r="C9" s="31">
        <f>IF($H9="","",SUMIF(calc!$A:$A,$H9,calc!$C:$C))</f>
        <v/>
      </c>
      <c r="D9" s="31">
        <f>IF($H9="","",ROUNDUP($C9*Spares!$B$3,0))</f>
        <v/>
      </c>
      <c r="E9" s="38">
        <f>IF($H9="","",$C9+$D9)</f>
        <v/>
      </c>
      <c r="F9" s="4" t="n"/>
      <c r="G9" s="4" t="n"/>
      <c r="H9" s="4">
        <f t="array" ref="H9">IFERROR(INDEX(calc!$A:$A,MATCH(5,calc!$E:$E,0)),"")</f>
        <v/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70">
      <c r="A10" s="49">
        <f>IF($H10="","",LEFT($H10,FIND("|",$H10)-1))</f>
        <v/>
      </c>
      <c r="B10" s="49">
        <f>IF($H10="","",MID($H10,FIND("|",$H10)+1,50))</f>
        <v/>
      </c>
      <c r="C10" s="51">
        <f>IF($H10="","",SUMIF(calc!$A:$A,$H10,calc!$C:$C))</f>
        <v/>
      </c>
      <c r="D10" s="51">
        <f>IF($H10="","",ROUNDUP($C10*Spares!$B$3,0))</f>
        <v/>
      </c>
      <c r="E10" s="53">
        <f>IF($H10="","",$C10+$D10)</f>
        <v/>
      </c>
      <c r="F10" s="4" t="n"/>
      <c r="G10" s="4" t="n"/>
      <c r="H10" s="4">
        <f t="array" ref="H10">IFERROR(INDEX(calc!$A:$A,MATCH(6,calc!$E:$E,0)),"")</f>
        <v/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70">
      <c r="A11" s="54">
        <f>IF($H11="","",LEFT($H11,FIND("|",$H11)-1))</f>
        <v/>
      </c>
      <c r="B11" s="54">
        <f>IF($H11="","",MID($H11,FIND("|",$H11)+1,50))</f>
        <v/>
      </c>
      <c r="C11" s="31">
        <f>IF($H11="","",SUMIF(calc!$A:$A,$H11,calc!$C:$C))</f>
        <v/>
      </c>
      <c r="D11" s="31">
        <f>IF($H11="","",ROUNDUP($C11*Spares!$B$3,0))</f>
        <v/>
      </c>
      <c r="E11" s="38">
        <f>IF($H11="","",$C11+$D11)</f>
        <v/>
      </c>
      <c r="F11" s="4" t="n"/>
      <c r="G11" s="4" t="n"/>
      <c r="H11" s="4">
        <f t="array" ref="H11">IFERROR(INDEX(calc!$A:$A,MATCH(7,calc!$E:$E,0)),"")</f>
        <v/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70">
      <c r="A12" s="49">
        <f>IF($H12="","",LEFT($H12,FIND("|",$H12)-1))</f>
        <v/>
      </c>
      <c r="B12" s="49">
        <f>IF($H12="","",MID($H12,FIND("|",$H12)+1,50))</f>
        <v/>
      </c>
      <c r="C12" s="51">
        <f>IF($H12="","",SUMIF(calc!$A:$A,$H12,calc!$C:$C))</f>
        <v/>
      </c>
      <c r="D12" s="51">
        <f>IF($H12="","",ROUNDUP($C12*Spares!$B$3,0))</f>
        <v/>
      </c>
      <c r="E12" s="53">
        <f>IF($H12="","",$C12+$D12)</f>
        <v/>
      </c>
      <c r="F12" s="4" t="n"/>
      <c r="G12" s="4" t="n"/>
      <c r="H12" s="4">
        <f t="array" ref="H12">IFERROR(INDEX(calc!$A:$A,MATCH(8,calc!$E:$E,0)),"")</f>
        <v/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70">
      <c r="A13" s="54">
        <f>IF($H13="","",LEFT($H13,FIND("|",$H13)-1))</f>
        <v/>
      </c>
      <c r="B13" s="54">
        <f>IF($H13="","",MID($H13,FIND("|",$H13)+1,50))</f>
        <v/>
      </c>
      <c r="C13" s="31">
        <f>IF($H13="","",SUMIF(calc!$A:$A,$H13,calc!$C:$C))</f>
        <v/>
      </c>
      <c r="D13" s="31">
        <f>IF($H13="","",ROUNDUP($C13*Spares!$B$3,0))</f>
        <v/>
      </c>
      <c r="E13" s="38">
        <f>IF($H13="","",$C13+$D13)</f>
        <v/>
      </c>
      <c r="F13" s="4" t="n"/>
      <c r="G13" s="4" t="n"/>
      <c r="H13" s="4">
        <f t="array" ref="H13">IFERROR(INDEX(calc!$A:$A,MATCH(9,calc!$E:$E,0)),"")</f>
        <v/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70">
      <c r="A14" s="49">
        <f>IF($H14="","",LEFT($H14,FIND("|",$H14)-1))</f>
        <v/>
      </c>
      <c r="B14" s="49">
        <f>IF($H14="","",MID($H14,FIND("|",$H14)+1,50))</f>
        <v/>
      </c>
      <c r="C14" s="51">
        <f>IF($H14="","",SUMIF(calc!$A:$A,$H14,calc!$C:$C))</f>
        <v/>
      </c>
      <c r="D14" s="51">
        <f>IF($H14="","",ROUNDUP($C14*Spares!$B$3,0))</f>
        <v/>
      </c>
      <c r="E14" s="53">
        <f>IF($H14="","",$C14+$D14)</f>
        <v/>
      </c>
      <c r="F14" s="4" t="n"/>
      <c r="G14" s="4" t="n"/>
      <c r="H14" s="4">
        <f t="array" ref="H14">IFERROR(INDEX(calc!$A:$A,MATCH(10,calc!$E:$E,0)),"")</f>
        <v/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70">
      <c r="A15" s="54">
        <f>IF($H15="","",LEFT($H15,FIND("|",$H15)-1))</f>
        <v/>
      </c>
      <c r="B15" s="54">
        <f>IF($H15="","",MID($H15,FIND("|",$H15)+1,50))</f>
        <v/>
      </c>
      <c r="C15" s="31">
        <f>IF($H15="","",SUMIF(calc!$A:$A,$H15,calc!$C:$C))</f>
        <v/>
      </c>
      <c r="D15" s="31">
        <f>IF($H15="","",ROUNDUP($C15*Spares!$B$3,0))</f>
        <v/>
      </c>
      <c r="E15" s="38">
        <f>IF($H15="","",$C15+$D15)</f>
        <v/>
      </c>
      <c r="F15" s="4" t="n"/>
      <c r="G15" s="4" t="n"/>
      <c r="H15" s="4">
        <f t="array" ref="H15">IFERROR(INDEX(calc!$A:$A,MATCH(11,calc!$E:$E,0)),"")</f>
        <v/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 s="70">
      <c r="A16" s="49">
        <f>IF($H16="","",LEFT($H16,FIND("|",$H16)-1))</f>
        <v/>
      </c>
      <c r="B16" s="49">
        <f>IF($H16="","",MID($H16,FIND("|",$H16)+1,50))</f>
        <v/>
      </c>
      <c r="C16" s="51">
        <f>IF($H16="","",SUMIF(calc!$A:$A,$H16,calc!$C:$C))</f>
        <v/>
      </c>
      <c r="D16" s="51">
        <f>IF($H16="","",ROUNDUP($C16*Spares!$B$3,0))</f>
        <v/>
      </c>
      <c r="E16" s="53">
        <f>IF($H16="","",$C16+$D16)</f>
        <v/>
      </c>
      <c r="F16" s="4" t="n"/>
      <c r="G16" s="4" t="n"/>
      <c r="H16" s="4">
        <f t="array" ref="H16">IFERROR(INDEX(calc!$A:$A,MATCH(12,calc!$E:$E,0)),"")</f>
        <v/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70">
      <c r="A17" s="54">
        <f>IF($H17="","",LEFT($H17,FIND("|",$H17)-1))</f>
        <v/>
      </c>
      <c r="B17" s="54">
        <f>IF($H17="","",MID($H17,FIND("|",$H17)+1,50))</f>
        <v/>
      </c>
      <c r="C17" s="31">
        <f>IF($H17="","",SUMIF(calc!$A:$A,$H17,calc!$C:$C))</f>
        <v/>
      </c>
      <c r="D17" s="31">
        <f>IF($H17="","",ROUNDUP($C17*Spares!$B$3,0))</f>
        <v/>
      </c>
      <c r="E17" s="38">
        <f>IF($H17="","",$C17+$D17)</f>
        <v/>
      </c>
      <c r="F17" s="4" t="n"/>
      <c r="G17" s="4" t="n"/>
      <c r="H17" s="4">
        <f t="array" ref="H17">IFERROR(INDEX(calc!$A:$A,MATCH(13,calc!$E:$E,0)),"")</f>
        <v/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70">
      <c r="A18" s="49">
        <f>IF($H18="","",LEFT($H18,FIND("|",$H18)-1))</f>
        <v/>
      </c>
      <c r="B18" s="49">
        <f>IF($H18="","",MID($H18,FIND("|",$H18)+1,50))</f>
        <v/>
      </c>
      <c r="C18" s="51">
        <f>IF($H18="","",SUMIF(calc!$A:$A,$H18,calc!$C:$C))</f>
        <v/>
      </c>
      <c r="D18" s="51">
        <f>IF($H18="","",ROUNDUP($C18*Spares!$B$3,0))</f>
        <v/>
      </c>
      <c r="E18" s="53">
        <f>IF($H18="","",$C18+$D18)</f>
        <v/>
      </c>
      <c r="F18" s="4" t="n"/>
      <c r="G18" s="4" t="n"/>
      <c r="H18" s="4">
        <f t="array" ref="H18">IFERROR(INDEX(calc!$A:$A,MATCH(14,calc!$E:$E,0)),"")</f>
        <v/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 s="70">
      <c r="A19" s="54">
        <f>IF($H19="","",LEFT($H19,FIND("|",$H19)-1))</f>
        <v/>
      </c>
      <c r="B19" s="54">
        <f>IF($H19="","",MID($H19,FIND("|",$H19)+1,50))</f>
        <v/>
      </c>
      <c r="C19" s="31">
        <f>IF($H19="","",SUMIF(calc!$A:$A,$H19,calc!$C:$C))</f>
        <v/>
      </c>
      <c r="D19" s="31">
        <f>IF($H19="","",ROUNDUP($C19*Spares!$B$3,0))</f>
        <v/>
      </c>
      <c r="E19" s="38">
        <f>IF($H19="","",$C19+$D19)</f>
        <v/>
      </c>
      <c r="F19" s="4" t="n"/>
      <c r="G19" s="4" t="n"/>
      <c r="H19" s="4">
        <f t="array" ref="H19">IFERROR(INDEX(calc!$A:$A,MATCH(15,calc!$E:$E,0)),"")</f>
        <v/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70">
      <c r="A20" s="49">
        <f>IF($H20="","",LEFT($H20,FIND("|",$H20)-1))</f>
        <v/>
      </c>
      <c r="B20" s="49">
        <f>IF($H20="","",MID($H20,FIND("|",$H20)+1,50))</f>
        <v/>
      </c>
      <c r="C20" s="51">
        <f>IF($H20="","",SUMIF(calc!$A:$A,$H20,calc!$C:$C))</f>
        <v/>
      </c>
      <c r="D20" s="51">
        <f>IF($H20="","",ROUNDUP($C20*Spares!$B$3,0))</f>
        <v/>
      </c>
      <c r="E20" s="53">
        <f>IF($H20="","",$C20+$D20)</f>
        <v/>
      </c>
      <c r="F20" s="4" t="n"/>
      <c r="G20" s="4" t="n"/>
      <c r="H20" s="4">
        <f t="array" ref="H20">IFERROR(INDEX(calc!$A:$A,MATCH(16,calc!$E:$E,0)),"")</f>
        <v/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70">
      <c r="A21" s="54">
        <f>IF($H21="","",LEFT($H21,FIND("|",$H21)-1))</f>
        <v/>
      </c>
      <c r="B21" s="54">
        <f>IF($H21="","",MID($H21,FIND("|",$H21)+1,50))</f>
        <v/>
      </c>
      <c r="C21" s="31">
        <f>IF($H21="","",SUMIF(calc!$A:$A,$H21,calc!$C:$C))</f>
        <v/>
      </c>
      <c r="D21" s="31">
        <f>IF($H21="","",ROUNDUP($C21*Spares!$B$3,0))</f>
        <v/>
      </c>
      <c r="E21" s="38">
        <f>IF($H21="","",$C21+$D21)</f>
        <v/>
      </c>
      <c r="F21" s="4" t="n"/>
      <c r="G21" s="4" t="n"/>
      <c r="H21" s="4">
        <f t="array" ref="H21">IFERROR(INDEX(calc!$A:$A,MATCH(17,calc!$E:$E,0)),"")</f>
        <v/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70">
      <c r="A22" s="49">
        <f>IF($H22="","",LEFT($H22,FIND("|",$H22)-1))</f>
        <v/>
      </c>
      <c r="B22" s="49">
        <f>IF($H22="","",MID($H22,FIND("|",$H22)+1,50))</f>
        <v/>
      </c>
      <c r="C22" s="51">
        <f>IF($H22="","",SUMIF(calc!$A:$A,$H22,calc!$C:$C))</f>
        <v/>
      </c>
      <c r="D22" s="51">
        <f>IF($H22="","",ROUNDUP($C22*Spares!$B$3,0))</f>
        <v/>
      </c>
      <c r="E22" s="53">
        <f>IF($H22="","",$C22+$D22)</f>
        <v/>
      </c>
      <c r="F22" s="4" t="n"/>
      <c r="G22" s="4" t="n"/>
      <c r="H22" s="4">
        <f t="array" ref="H22">IFERROR(INDEX(calc!$A:$A,MATCH(18,calc!$E:$E,0)),"")</f>
        <v/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70">
      <c r="A23" s="54">
        <f>IF($H23="","",LEFT($H23,FIND("|",$H23)-1))</f>
        <v/>
      </c>
      <c r="B23" s="54">
        <f>IF($H23="","",MID($H23,FIND("|",$H23)+1,50))</f>
        <v/>
      </c>
      <c r="C23" s="31">
        <f>IF($H23="","",SUMIF(calc!$A:$A,$H23,calc!$C:$C))</f>
        <v/>
      </c>
      <c r="D23" s="31">
        <f>IF($H23="","",ROUNDUP($C23*Spares!$B$3,0))</f>
        <v/>
      </c>
      <c r="E23" s="38">
        <f>IF($H23="","",$C23+$D23)</f>
        <v/>
      </c>
      <c r="F23" s="4" t="n"/>
      <c r="G23" s="4" t="n"/>
      <c r="H23" s="4">
        <f t="array" ref="H23">IFERROR(INDEX(calc!$A:$A,MATCH(19,calc!$E:$E,0)),"")</f>
        <v/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70">
      <c r="A24" s="49">
        <f>IF($H24="","",LEFT($H24,FIND("|",$H24)-1))</f>
        <v/>
      </c>
      <c r="B24" s="49">
        <f>IF($H24="","",MID($H24,FIND("|",$H24)+1,50))</f>
        <v/>
      </c>
      <c r="C24" s="51">
        <f>IF($H24="","",SUMIF(calc!$A:$A,$H24,calc!$C:$C))</f>
        <v/>
      </c>
      <c r="D24" s="51">
        <f>IF($H24="","",ROUNDUP($C24*Spares!$B$3,0))</f>
        <v/>
      </c>
      <c r="E24" s="53">
        <f>IF($H24="","",$C24+$D24)</f>
        <v/>
      </c>
      <c r="F24" s="4" t="n"/>
      <c r="G24" s="4" t="n"/>
      <c r="H24" s="4">
        <f t="array" ref="H24">IFERROR(INDEX(calc!$A:$A,MATCH(20,calc!$E:$E,0)),"")</f>
        <v/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70">
      <c r="A25" s="54">
        <f>IF($H25="","",LEFT($H25,FIND("|",$H25)-1))</f>
        <v/>
      </c>
      <c r="B25" s="54">
        <f>IF($H25="","",MID($H25,FIND("|",$H25)+1,50))</f>
        <v/>
      </c>
      <c r="C25" s="31">
        <f>IF($H25="","",SUMIF(calc!$A:$A,$H25,calc!$C:$C))</f>
        <v/>
      </c>
      <c r="D25" s="31">
        <f>IF($H25="","",ROUNDUP($C25*Spares!$B$3,0))</f>
        <v/>
      </c>
      <c r="E25" s="38">
        <f>IF($H25="","",$C25+$D25)</f>
        <v/>
      </c>
      <c r="F25" s="4" t="n"/>
      <c r="G25" s="4" t="n"/>
      <c r="H25" s="4">
        <f t="array" ref="H25">IFERROR(INDEX(calc!$A:$A,MATCH(21,calc!$E:$E,0)),"")</f>
        <v/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70">
      <c r="A26" s="49">
        <f>IF($H26="","",LEFT($H26,FIND("|",$H26)-1))</f>
        <v/>
      </c>
      <c r="B26" s="49">
        <f>IF($H26="","",MID($H26,FIND("|",$H26)+1,50))</f>
        <v/>
      </c>
      <c r="C26" s="51">
        <f>IF($H26="","",SUMIF(calc!$A:$A,$H26,calc!$C:$C))</f>
        <v/>
      </c>
      <c r="D26" s="51">
        <f>IF($H26="","",ROUNDUP($C26*Spares!$B$3,0))</f>
        <v/>
      </c>
      <c r="E26" s="53">
        <f>IF($H26="","",$C26+$D26)</f>
        <v/>
      </c>
      <c r="F26" s="4" t="n"/>
      <c r="G26" s="4" t="n"/>
      <c r="H26" s="4">
        <f t="array" ref="H26">IFERROR(INDEX(calc!$A:$A,MATCH(22,calc!$E:$E,0)),"")</f>
        <v/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70">
      <c r="A27" s="54">
        <f>IF($H27="","",LEFT($H27,FIND("|",$H27)-1))</f>
        <v/>
      </c>
      <c r="B27" s="54">
        <f>IF($H27="","",MID($H27,FIND("|",$H27)+1,50))</f>
        <v/>
      </c>
      <c r="C27" s="31">
        <f>IF($H27="","",SUMIF(calc!$A:$A,$H27,calc!$C:$C))</f>
        <v/>
      </c>
      <c r="D27" s="31">
        <f>IF($H27="","",ROUNDUP($C27*Spares!$B$3,0))</f>
        <v/>
      </c>
      <c r="E27" s="38">
        <f>IF($H27="","",$C27+$D27)</f>
        <v/>
      </c>
      <c r="F27" s="4" t="n"/>
      <c r="G27" s="4" t="n"/>
      <c r="H27" s="4">
        <f t="array" ref="H27">IFERROR(INDEX(calc!$A:$A,MATCH(23,calc!$E:$E,0)),"")</f>
        <v/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70">
      <c r="A28" s="49">
        <f>IF($H28="","",LEFT($H28,FIND("|",$H28)-1))</f>
        <v/>
      </c>
      <c r="B28" s="49">
        <f>IF($H28="","",MID($H28,FIND("|",$H28)+1,50))</f>
        <v/>
      </c>
      <c r="C28" s="51">
        <f>IF($H28="","",SUMIF(calc!$A:$A,$H28,calc!$C:$C))</f>
        <v/>
      </c>
      <c r="D28" s="51">
        <f>IF($H28="","",ROUNDUP($C28*Spares!$B$3,0))</f>
        <v/>
      </c>
      <c r="E28" s="53">
        <f>IF($H28="","",$C28+$D28)</f>
        <v/>
      </c>
      <c r="F28" s="4" t="n"/>
      <c r="G28" s="4" t="n"/>
      <c r="H28" s="4">
        <f t="array" ref="H28">IFERROR(INDEX(calc!$A:$A,MATCH(24,calc!$E:$E,0)),"")</f>
        <v/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70">
      <c r="A29" s="54">
        <f>IF($H29="","",LEFT($H29,FIND("|",$H29)-1))</f>
        <v/>
      </c>
      <c r="B29" s="54">
        <f>IF($H29="","",MID($H29,FIND("|",$H29)+1,50))</f>
        <v/>
      </c>
      <c r="C29" s="31">
        <f>IF($H29="","",SUMIF(calc!$A:$A,$H29,calc!$C:$C))</f>
        <v/>
      </c>
      <c r="D29" s="31">
        <f>IF($H29="","",ROUNDUP($C29*Spares!$B$3,0))</f>
        <v/>
      </c>
      <c r="E29" s="38">
        <f>IF($H29="","",$C29+$D29)</f>
        <v/>
      </c>
      <c r="F29" s="4" t="n"/>
      <c r="G29" s="4" t="n"/>
      <c r="H29" s="4">
        <f t="array" ref="H29">IFERROR(INDEX(calc!$A:$A,MATCH(25,calc!$E:$E,0)),"")</f>
        <v/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70">
      <c r="A30" s="49">
        <f>IF($H30="","",LEFT($H30,FIND("|",$H30)-1))</f>
        <v/>
      </c>
      <c r="B30" s="49">
        <f>IF($H30="","",MID($H30,FIND("|",$H30)+1,50))</f>
        <v/>
      </c>
      <c r="C30" s="51">
        <f>IF($H30="","",SUMIF(calc!$A:$A,$H30,calc!$C:$C))</f>
        <v/>
      </c>
      <c r="D30" s="51">
        <f>IF($H30="","",ROUNDUP($C30*Spares!$B$3,0))</f>
        <v/>
      </c>
      <c r="E30" s="53">
        <f>IF($H30="","",$C30+$D30)</f>
        <v/>
      </c>
      <c r="F30" s="4" t="n"/>
      <c r="G30" s="4" t="n"/>
      <c r="H30" s="4">
        <f t="array" ref="H30">IFERROR(INDEX(calc!$A:$A,MATCH(26,calc!$E:$E,0)),"")</f>
        <v/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70">
      <c r="A31" s="54">
        <f>IF($H31="","",LEFT($H31,FIND("|",$H31)-1))</f>
        <v/>
      </c>
      <c r="B31" s="54">
        <f>IF($H31="","",MID($H31,FIND("|",$H31)+1,50))</f>
        <v/>
      </c>
      <c r="C31" s="31">
        <f>IF($H31="","",SUMIF(calc!$A:$A,$H31,calc!$C:$C))</f>
        <v/>
      </c>
      <c r="D31" s="31">
        <f>IF($H31="","",ROUNDUP($C31*Spares!$B$3,0))</f>
        <v/>
      </c>
      <c r="E31" s="38">
        <f>IF($H31="","",$C31+$D31)</f>
        <v/>
      </c>
      <c r="F31" s="4" t="n"/>
      <c r="G31" s="4" t="n"/>
      <c r="H31" s="4">
        <f t="array" ref="H31">IFERROR(INDEX(calc!$A:$A,MATCH(27,calc!$E:$E,0)),"")</f>
        <v/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70">
      <c r="A32" s="49">
        <f>IF($H32="","",LEFT($H32,FIND("|",$H32)-1))</f>
        <v/>
      </c>
      <c r="B32" s="49">
        <f>IF($H32="","",MID($H32,FIND("|",$H32)+1,50))</f>
        <v/>
      </c>
      <c r="C32" s="51">
        <f>IF($H32="","",SUMIF(calc!$A:$A,$H32,calc!$C:$C))</f>
        <v/>
      </c>
      <c r="D32" s="51">
        <f>IF($H32="","",ROUNDUP($C32*Spares!$B$3,0))</f>
        <v/>
      </c>
      <c r="E32" s="53">
        <f>IF($H32="","",$C32+$D32)</f>
        <v/>
      </c>
      <c r="F32" s="4" t="n"/>
      <c r="G32" s="4" t="n"/>
      <c r="H32" s="4">
        <f t="array" ref="H32">IFERROR(INDEX(calc!$A:$A,MATCH(28,calc!$E:$E,0)),"")</f>
        <v/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70">
      <c r="A33" s="54">
        <f>IF($H33="","",LEFT($H33,FIND("|",$H33)-1))</f>
        <v/>
      </c>
      <c r="B33" s="54">
        <f>IF($H33="","",MID($H33,FIND("|",$H33)+1,50))</f>
        <v/>
      </c>
      <c r="C33" s="31">
        <f>IF($H33="","",SUMIF(calc!$A:$A,$H33,calc!$C:$C))</f>
        <v/>
      </c>
      <c r="D33" s="31">
        <f>IF($H33="","",ROUNDUP($C33*Spares!$B$3,0))</f>
        <v/>
      </c>
      <c r="E33" s="38">
        <f>IF($H33="","",$C33+$D33)</f>
        <v/>
      </c>
      <c r="F33" s="4" t="n"/>
      <c r="G33" s="4" t="n"/>
      <c r="H33" s="4">
        <f t="array" ref="H33">IFERROR(INDEX(calc!$A:$A,MATCH(29,calc!$E:$E,0)),"")</f>
        <v/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70">
      <c r="A34" s="49">
        <f>IF($H34="","",LEFT($H34,FIND("|",$H34)-1))</f>
        <v/>
      </c>
      <c r="B34" s="49">
        <f>IF($H34="","",MID($H34,FIND("|",$H34)+1,50))</f>
        <v/>
      </c>
      <c r="C34" s="51">
        <f>IF($H34="","",SUMIF(calc!$A:$A,$H34,calc!$C:$C))</f>
        <v/>
      </c>
      <c r="D34" s="51">
        <f>IF($H34="","",ROUNDUP($C34*Spares!$B$3,0))</f>
        <v/>
      </c>
      <c r="E34" s="53">
        <f>IF($H34="","",$C34+$D34)</f>
        <v/>
      </c>
      <c r="F34" s="4" t="n"/>
      <c r="G34" s="4" t="n"/>
      <c r="H34" s="4">
        <f t="array" ref="H34">IFERROR(INDEX(calc!$A:$A,MATCH(30,calc!$E:$E,0)),"")</f>
        <v/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70">
      <c r="A35" s="54">
        <f>IF($H35="","",LEFT($H35,FIND("|",$H35)-1))</f>
        <v/>
      </c>
      <c r="B35" s="54">
        <f>IF($H35="","",MID($H35,FIND("|",$H35)+1,50))</f>
        <v/>
      </c>
      <c r="C35" s="31">
        <f>IF($H35="","",SUMIF(calc!$A:$A,$H35,calc!$C:$C))</f>
        <v/>
      </c>
      <c r="D35" s="31">
        <f>IF($H35="","",ROUNDUP($C35*Spares!$B$3,0))</f>
        <v/>
      </c>
      <c r="E35" s="38">
        <f>IF($H35="","",$C35+$D35)</f>
        <v/>
      </c>
      <c r="F35" s="4" t="n"/>
      <c r="G35" s="4" t="n"/>
      <c r="H35" s="4">
        <f t="array" ref="H35">IFERROR(INDEX(calc!$A:$A,MATCH(31,calc!$E:$E,0)),"")</f>
        <v/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70">
      <c r="A36" s="49">
        <f>IF($H36="","",LEFT($H36,FIND("|",$H36)-1))</f>
        <v/>
      </c>
      <c r="B36" s="49">
        <f>IF($H36="","",MID($H36,FIND("|",$H36)+1,50))</f>
        <v/>
      </c>
      <c r="C36" s="51">
        <f>IF($H36="","",SUMIF(calc!$A:$A,$H36,calc!$C:$C))</f>
        <v/>
      </c>
      <c r="D36" s="51">
        <f>IF($H36="","",ROUNDUP($C36*Spares!$B$3,0))</f>
        <v/>
      </c>
      <c r="E36" s="53">
        <f>IF($H36="","",$C36+$D36)</f>
        <v/>
      </c>
      <c r="F36" s="4" t="n"/>
      <c r="G36" s="4" t="n"/>
      <c r="H36" s="4">
        <f t="array" ref="H36">IFERROR(INDEX(calc!$A:$A,MATCH(32,calc!$E:$E,0)),"")</f>
        <v/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70">
      <c r="A37" s="54">
        <f>IF($H37="","",LEFT($H37,FIND("|",$H37)-1))</f>
        <v/>
      </c>
      <c r="B37" s="54">
        <f>IF($H37="","",MID($H37,FIND("|",$H37)+1,50))</f>
        <v/>
      </c>
      <c r="C37" s="31">
        <f>IF($H37="","",SUMIF(calc!$A:$A,$H37,calc!$C:$C))</f>
        <v/>
      </c>
      <c r="D37" s="31">
        <f>IF($H37="","",ROUNDUP($C37*Spares!$B$3,0))</f>
        <v/>
      </c>
      <c r="E37" s="38">
        <f>IF($H37="","",$C37+$D37)</f>
        <v/>
      </c>
      <c r="F37" s="4" t="n"/>
      <c r="G37" s="4" t="n"/>
      <c r="H37" s="4">
        <f t="array" ref="H37">IFERROR(INDEX(calc!$A:$A,MATCH(33,calc!$E:$E,0)),"")</f>
        <v/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70">
      <c r="A38" s="49">
        <f>IF($H38="","",LEFT($H38,FIND("|",$H38)-1))</f>
        <v/>
      </c>
      <c r="B38" s="49">
        <f>IF($H38="","",MID($H38,FIND("|",$H38)+1,50))</f>
        <v/>
      </c>
      <c r="C38" s="51">
        <f>IF($H38="","",SUMIF(calc!$A:$A,$H38,calc!$C:$C))</f>
        <v/>
      </c>
      <c r="D38" s="51">
        <f>IF($H38="","",ROUNDUP($C38*Spares!$B$3,0))</f>
        <v/>
      </c>
      <c r="E38" s="53">
        <f>IF($H38="","",$C38+$D38)</f>
        <v/>
      </c>
      <c r="F38" s="4" t="n"/>
      <c r="G38" s="4" t="n"/>
      <c r="H38" s="4">
        <f t="array" ref="H38">IFERROR(INDEX(calc!$A:$A,MATCH(34,calc!$E:$E,0)),"")</f>
        <v/>
      </c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70">
      <c r="A39" s="54">
        <f>IF($H39="","",LEFT($H39,FIND("|",$H39)-1))</f>
        <v/>
      </c>
      <c r="B39" s="54">
        <f>IF($H39="","",MID($H39,FIND("|",$H39)+1,50))</f>
        <v/>
      </c>
      <c r="C39" s="31">
        <f>IF($H39="","",SUMIF(calc!$A:$A,$H39,calc!$C:$C))</f>
        <v/>
      </c>
      <c r="D39" s="31">
        <f>IF($H39="","",ROUNDUP($C39*Spares!$B$3,0))</f>
        <v/>
      </c>
      <c r="E39" s="38">
        <f>IF($H39="","",$C39+$D39)</f>
        <v/>
      </c>
      <c r="F39" s="4" t="n"/>
      <c r="G39" s="4" t="n"/>
      <c r="H39" s="4">
        <f t="array" ref="H39">IFERROR(INDEX(calc!$A:$A,MATCH(35,calc!$E:$E,0)),"")</f>
        <v/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70">
      <c r="A40" s="49">
        <f>IF($H40="","",LEFT($H40,FIND("|",$H40)-1))</f>
        <v/>
      </c>
      <c r="B40" s="49">
        <f>IF($H40="","",MID($H40,FIND("|",$H40)+1,50))</f>
        <v/>
      </c>
      <c r="C40" s="51">
        <f>IF($H40="","",SUMIF(calc!$A:$A,$H40,calc!$C:$C))</f>
        <v/>
      </c>
      <c r="D40" s="51">
        <f>IF($H40="","",ROUNDUP($C40*Spares!$B$3,0))</f>
        <v/>
      </c>
      <c r="E40" s="53">
        <f>IF($H40="","",$C40+$D40)</f>
        <v/>
      </c>
      <c r="F40" s="4" t="n"/>
      <c r="G40" s="4" t="n"/>
      <c r="H40" s="4">
        <f t="array" ref="H40">IFERROR(INDEX(calc!$A:$A,MATCH(36,calc!$E:$E,0)),"")</f>
        <v/>
      </c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70">
      <c r="A41" s="54">
        <f>IF($H41="","",LEFT($H41,FIND("|",$H41)-1))</f>
        <v/>
      </c>
      <c r="B41" s="54">
        <f>IF($H41="","",MID($H41,FIND("|",$H41)+1,50))</f>
        <v/>
      </c>
      <c r="C41" s="31">
        <f>IF($H41="","",SUMIF(calc!$A:$A,$H41,calc!$C:$C))</f>
        <v/>
      </c>
      <c r="D41" s="31">
        <f>IF($H41="","",ROUNDUP($C41*Spares!$B$3,0))</f>
        <v/>
      </c>
      <c r="E41" s="38">
        <f>IF($H41="","",$C41+$D41)</f>
        <v/>
      </c>
      <c r="F41" s="4" t="n"/>
      <c r="G41" s="4" t="n"/>
      <c r="H41" s="4">
        <f t="array" ref="H41">IFERROR(INDEX(calc!$A:$A,MATCH(37,calc!$E:$E,0)),"")</f>
        <v/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70">
      <c r="A42" s="49">
        <f>IF($H42="","",LEFT($H42,FIND("|",$H42)-1))</f>
        <v/>
      </c>
      <c r="B42" s="49">
        <f>IF($H42="","",MID($H42,FIND("|",$H42)+1,50))</f>
        <v/>
      </c>
      <c r="C42" s="51">
        <f>IF($H42="","",SUMIF(calc!$A:$A,$H42,calc!$C:$C))</f>
        <v/>
      </c>
      <c r="D42" s="51">
        <f>IF($H42="","",ROUNDUP($C42*Spares!$B$3,0))</f>
        <v/>
      </c>
      <c r="E42" s="53">
        <f>IF($H42="","",$C42+$D42)</f>
        <v/>
      </c>
      <c r="F42" s="4" t="n"/>
      <c r="G42" s="4" t="n"/>
      <c r="H42" s="4">
        <f t="array" ref="H42">IFERROR(INDEX(calc!$A:$A,MATCH(38,calc!$E:$E,0)),"")</f>
        <v/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70">
      <c r="A43" s="54">
        <f>IF($H43="","",LEFT($H43,FIND("|",$H43)-1))</f>
        <v/>
      </c>
      <c r="B43" s="54">
        <f>IF($H43="","",MID($H43,FIND("|",$H43)+1,50))</f>
        <v/>
      </c>
      <c r="C43" s="31">
        <f>IF($H43="","",SUMIF(calc!$A:$A,$H43,calc!$C:$C))</f>
        <v/>
      </c>
      <c r="D43" s="31">
        <f>IF($H43="","",ROUNDUP($C43*Spares!$B$3,0))</f>
        <v/>
      </c>
      <c r="E43" s="38">
        <f>IF($H43="","",$C43+$D43)</f>
        <v/>
      </c>
      <c r="F43" s="4" t="n"/>
      <c r="G43" s="4" t="n"/>
      <c r="H43" s="4">
        <f t="array" ref="H43">IFERROR(INDEX(calc!$A:$A,MATCH(39,calc!$E:$E,0)),"")</f>
        <v/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70">
      <c r="A44" s="49">
        <f>IF($H44="","",LEFT($H44,FIND("|",$H44)-1))</f>
        <v/>
      </c>
      <c r="B44" s="49">
        <f>IF($H44="","",MID($H44,FIND("|",$H44)+1,50))</f>
        <v/>
      </c>
      <c r="C44" s="51">
        <f>IF($H44="","",SUMIF(calc!$A:$A,$H44,calc!$C:$C))</f>
        <v/>
      </c>
      <c r="D44" s="51">
        <f>IF($H44="","",ROUNDUP($C44*Spares!$B$3,0))</f>
        <v/>
      </c>
      <c r="E44" s="53">
        <f>IF($H44="","",$C44+$D44)</f>
        <v/>
      </c>
      <c r="F44" s="4" t="n"/>
      <c r="G44" s="4" t="n"/>
      <c r="H44" s="4">
        <f t="array" ref="H44">IFERROR(INDEX(calc!$A:$A,MATCH(40,calc!$E:$E,0)),"")</f>
        <v/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70">
      <c r="A45" s="54">
        <f>IF($H45="","",LEFT($H45,FIND("|",$H45)-1))</f>
        <v/>
      </c>
      <c r="B45" s="54">
        <f>IF($H45="","",MID($H45,FIND("|",$H45)+1,50))</f>
        <v/>
      </c>
      <c r="C45" s="31">
        <f>IF($H45="","",SUMIF(calc!$A:$A,$H45,calc!$C:$C))</f>
        <v/>
      </c>
      <c r="D45" s="31">
        <f>IF($H45="","",ROUNDUP($C45*Spares!$B$3,0))</f>
        <v/>
      </c>
      <c r="E45" s="38">
        <f>IF($H45="","",$C45+$D45)</f>
        <v/>
      </c>
      <c r="F45" s="4" t="n"/>
      <c r="G45" s="4" t="n"/>
      <c r="H45" s="4">
        <f t="array" ref="H45">IFERROR(INDEX(calc!$A:$A,MATCH(41,calc!$E:$E,0)),"")</f>
        <v/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70">
      <c r="A46" s="49">
        <f>IF($H46="","",LEFT($H46,FIND("|",$H46)-1))</f>
        <v/>
      </c>
      <c r="B46" s="49">
        <f>IF($H46="","",MID($H46,FIND("|",$H46)+1,50))</f>
        <v/>
      </c>
      <c r="C46" s="51">
        <f>IF($H46="","",SUMIF(calc!$A:$A,$H46,calc!$C:$C))</f>
        <v/>
      </c>
      <c r="D46" s="51">
        <f>IF($H46="","",ROUNDUP($C46*Spares!$B$3,0))</f>
        <v/>
      </c>
      <c r="E46" s="53">
        <f>IF($H46="","",$C46+$D46)</f>
        <v/>
      </c>
      <c r="F46" s="4" t="n"/>
      <c r="G46" s="4" t="n"/>
      <c r="H46" s="4">
        <f t="array" ref="H46">IFERROR(INDEX(calc!$A:$A,MATCH(42,calc!$E:$E,0)),"")</f>
        <v/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70">
      <c r="A47" s="54">
        <f>IF($H47="","",LEFT($H47,FIND("|",$H47)-1))</f>
        <v/>
      </c>
      <c r="B47" s="54">
        <f>IF($H47="","",MID($H47,FIND("|",$H47)+1,50))</f>
        <v/>
      </c>
      <c r="C47" s="31">
        <f>IF($H47="","",SUMIF(calc!$A:$A,$H47,calc!$C:$C))</f>
        <v/>
      </c>
      <c r="D47" s="31">
        <f>IF($H47="","",ROUNDUP($C47*Spares!$B$3,0))</f>
        <v/>
      </c>
      <c r="E47" s="38">
        <f>IF($H47="","",$C47+$D47)</f>
        <v/>
      </c>
      <c r="F47" s="4" t="n"/>
      <c r="G47" s="4" t="n"/>
      <c r="H47" s="4">
        <f t="array" ref="H47">IFERROR(INDEX(calc!$A:$A,MATCH(43,calc!$E:$E,0)),"")</f>
        <v/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70">
      <c r="A48" s="49">
        <f>IF($H48="","",LEFT($H48,FIND("|",$H48)-1))</f>
        <v/>
      </c>
      <c r="B48" s="49">
        <f>IF($H48="","",MID($H48,FIND("|",$H48)+1,50))</f>
        <v/>
      </c>
      <c r="C48" s="51">
        <f>IF($H48="","",SUMIF(calc!$A:$A,$H48,calc!$C:$C))</f>
        <v/>
      </c>
      <c r="D48" s="51">
        <f>IF($H48="","",ROUNDUP($C48*Spares!$B$3,0))</f>
        <v/>
      </c>
      <c r="E48" s="53">
        <f>IF($H48="","",$C48+$D48)</f>
        <v/>
      </c>
      <c r="F48" s="4" t="n"/>
      <c r="G48" s="4" t="n"/>
      <c r="H48" s="4">
        <f t="array" ref="H48">IFERROR(INDEX(calc!$A:$A,MATCH(44,calc!$E:$E,0)),"")</f>
        <v/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70">
      <c r="A49" s="54">
        <f>IF($H49="","",LEFT($H49,FIND("|",$H49)-1))</f>
        <v/>
      </c>
      <c r="B49" s="54">
        <f>IF($H49="","",MID($H49,FIND("|",$H49)+1,50))</f>
        <v/>
      </c>
      <c r="C49" s="31">
        <f>IF($H49="","",SUMIF(calc!$A:$A,$H49,calc!$C:$C))</f>
        <v/>
      </c>
      <c r="D49" s="31">
        <f>IF($H49="","",ROUNDUP($C49*Spares!$B$3,0))</f>
        <v/>
      </c>
      <c r="E49" s="38">
        <f>IF($H49="","",$C49+$D49)</f>
        <v/>
      </c>
      <c r="F49" s="4" t="n"/>
      <c r="G49" s="4" t="n"/>
      <c r="H49" s="4">
        <f t="array" ref="H49">IFERROR(INDEX(calc!$A:$A,MATCH(45,calc!$E:$E,0)),"")</f>
        <v/>
      </c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70">
      <c r="A50" s="49">
        <f>IF($H50="","",LEFT($H50,FIND("|",$H50)-1))</f>
        <v/>
      </c>
      <c r="B50" s="49">
        <f>IF($H50="","",MID($H50,FIND("|",$H50)+1,50))</f>
        <v/>
      </c>
      <c r="C50" s="51">
        <f>IF($H50="","",SUMIF(calc!$A:$A,$H50,calc!$C:$C))</f>
        <v/>
      </c>
      <c r="D50" s="51">
        <f>IF($H50="","",ROUNDUP($C50*Spares!$B$3,0))</f>
        <v/>
      </c>
      <c r="E50" s="53">
        <f>IF($H50="","",$C50+$D50)</f>
        <v/>
      </c>
      <c r="F50" s="4" t="n"/>
      <c r="G50" s="4" t="n"/>
      <c r="H50" s="4">
        <f t="array" ref="H50">IFERROR(INDEX(calc!$A:$A,MATCH(46,calc!$E:$E,0)),"")</f>
        <v/>
      </c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70">
      <c r="A51" s="54">
        <f>IF($H51="","",LEFT($H51,FIND("|",$H51)-1))</f>
        <v/>
      </c>
      <c r="B51" s="54">
        <f>IF($H51="","",MID($H51,FIND("|",$H51)+1,50))</f>
        <v/>
      </c>
      <c r="C51" s="31">
        <f>IF($H51="","",SUMIF(calc!$A:$A,$H51,calc!$C:$C))</f>
        <v/>
      </c>
      <c r="D51" s="31">
        <f>IF($H51="","",ROUNDUP($C51*Spares!$B$3,0))</f>
        <v/>
      </c>
      <c r="E51" s="38">
        <f>IF($H51="","",$C51+$D51)</f>
        <v/>
      </c>
      <c r="F51" s="4" t="n"/>
      <c r="G51" s="4" t="n"/>
      <c r="H51" s="4">
        <f t="array" ref="H51">IFERROR(INDEX(calc!$A:$A,MATCH(47,calc!$E:$E,0)),"")</f>
        <v/>
      </c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70">
      <c r="A52" s="49">
        <f>IF($H52="","",LEFT($H52,FIND("|",$H52)-1))</f>
        <v/>
      </c>
      <c r="B52" s="49">
        <f>IF($H52="","",MID($H52,FIND("|",$H52)+1,50))</f>
        <v/>
      </c>
      <c r="C52" s="51">
        <f>IF($H52="","",SUMIF(calc!$A:$A,$H52,calc!$C:$C))</f>
        <v/>
      </c>
      <c r="D52" s="51">
        <f>IF($H52="","",ROUNDUP($C52*Spares!$B$3,0))</f>
        <v/>
      </c>
      <c r="E52" s="53">
        <f>IF($H52="","",$C52+$D52)</f>
        <v/>
      </c>
      <c r="F52" s="4" t="n"/>
      <c r="G52" s="4" t="n"/>
      <c r="H52" s="4">
        <f t="array" ref="H52">IFERROR(INDEX(calc!$A:$A,MATCH(48,calc!$E:$E,0)),"")</f>
        <v/>
      </c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70">
      <c r="A53" s="54">
        <f>IF($H53="","",LEFT($H53,FIND("|",$H53)-1))</f>
        <v/>
      </c>
      <c r="B53" s="54">
        <f>IF($H53="","",MID($H53,FIND("|",$H53)+1,50))</f>
        <v/>
      </c>
      <c r="C53" s="31">
        <f>IF($H53="","",SUMIF(calc!$A:$A,$H53,calc!$C:$C))</f>
        <v/>
      </c>
      <c r="D53" s="31">
        <f>IF($H53="","",ROUNDUP($C53*Spares!$B$3,0))</f>
        <v/>
      </c>
      <c r="E53" s="38">
        <f>IF($H53="","",$C53+$D53)</f>
        <v/>
      </c>
      <c r="F53" s="4" t="n"/>
      <c r="G53" s="4" t="n"/>
      <c r="H53" s="4">
        <f t="array" ref="H53">IFERROR(INDEX(calc!$A:$A,MATCH(49,calc!$E:$E,0)),"")</f>
        <v/>
      </c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70">
      <c r="A54" s="49">
        <f>IF($H54="","",LEFT($H54,FIND("|",$H54)-1))</f>
        <v/>
      </c>
      <c r="B54" s="49">
        <f>IF($H54="","",MID($H54,FIND("|",$H54)+1,50))</f>
        <v/>
      </c>
      <c r="C54" s="51">
        <f>IF($H54="","",SUMIF(calc!$A:$A,$H54,calc!$C:$C))</f>
        <v/>
      </c>
      <c r="D54" s="51">
        <f>IF($H54="","",ROUNDUP($C54*Spares!$B$3,0))</f>
        <v/>
      </c>
      <c r="E54" s="53">
        <f>IF($H54="","",$C54+$D54)</f>
        <v/>
      </c>
      <c r="F54" s="4" t="n"/>
      <c r="G54" s="4" t="n"/>
      <c r="H54" s="4">
        <f t="array" ref="H54">IFERROR(INDEX(calc!$A:$A,MATCH(50,calc!$E:$E,0)),"")</f>
        <v/>
      </c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70">
      <c r="A55" s="54">
        <f>IF($H55="","",LEFT($H55,FIND("|",$H55)-1))</f>
        <v/>
      </c>
      <c r="B55" s="54">
        <f>IF($H55="","",MID($H55,FIND("|",$H55)+1,50))</f>
        <v/>
      </c>
      <c r="C55" s="31">
        <f>IF($H55="","",SUMIF(calc!$A:$A,$H55,calc!$C:$C))</f>
        <v/>
      </c>
      <c r="D55" s="31">
        <f>IF($H55="","",ROUNDUP($C55*Spares!$B$3,0))</f>
        <v/>
      </c>
      <c r="E55" s="38">
        <f>IF($H55="","",$C55+$D55)</f>
        <v/>
      </c>
      <c r="F55" s="4" t="n"/>
      <c r="G55" s="4" t="n"/>
      <c r="H55" s="4">
        <f t="array" ref="H55">IFERROR(INDEX(calc!$A:$A,MATCH(51,calc!$E:$E,0)),"")</f>
        <v/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70">
      <c r="A56" s="49">
        <f>IF($H56="","",LEFT($H56,FIND("|",$H56)-1))</f>
        <v/>
      </c>
      <c r="B56" s="49">
        <f>IF($H56="","",MID($H56,FIND("|",$H56)+1,50))</f>
        <v/>
      </c>
      <c r="C56" s="51">
        <f>IF($H56="","",SUMIF(calc!$A:$A,$H56,calc!$C:$C))</f>
        <v/>
      </c>
      <c r="D56" s="51">
        <f>IF($H56="","",ROUNDUP($C56*Spares!$B$3,0))</f>
        <v/>
      </c>
      <c r="E56" s="53">
        <f>IF($H56="","",$C56+$D56)</f>
        <v/>
      </c>
      <c r="F56" s="4" t="n"/>
      <c r="G56" s="4" t="n"/>
      <c r="H56" s="4">
        <f t="array" ref="H56">IFERROR(INDEX(calc!$A:$A,MATCH(52,calc!$E:$E,0)),"")</f>
        <v/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70">
      <c r="A57" s="54">
        <f>IF($H57="","",LEFT($H57,FIND("|",$H57)-1))</f>
        <v/>
      </c>
      <c r="B57" s="54">
        <f>IF($H57="","",MID($H57,FIND("|",$H57)+1,50))</f>
        <v/>
      </c>
      <c r="C57" s="31">
        <f>IF($H57="","",SUMIF(calc!$A:$A,$H57,calc!$C:$C))</f>
        <v/>
      </c>
      <c r="D57" s="31">
        <f>IF($H57="","",ROUNDUP($C57*Spares!$B$3,0))</f>
        <v/>
      </c>
      <c r="E57" s="38">
        <f>IF($H57="","",$C57+$D57)</f>
        <v/>
      </c>
      <c r="F57" s="4" t="n"/>
      <c r="G57" s="4" t="n"/>
      <c r="H57" s="4">
        <f t="array" ref="H57">IFERROR(INDEX(calc!$A:$A,MATCH(53,calc!$E:$E,0)),"")</f>
        <v/>
      </c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70">
      <c r="A58" s="49">
        <f>IF($H58="","",LEFT($H58,FIND("|",$H58)-1))</f>
        <v/>
      </c>
      <c r="B58" s="49">
        <f>IF($H58="","",MID($H58,FIND("|",$H58)+1,50))</f>
        <v/>
      </c>
      <c r="C58" s="51">
        <f>IF($H58="","",SUMIF(calc!$A:$A,$H58,calc!$C:$C))</f>
        <v/>
      </c>
      <c r="D58" s="51">
        <f>IF($H58="","",ROUNDUP($C58*Spares!$B$3,0))</f>
        <v/>
      </c>
      <c r="E58" s="53">
        <f>IF($H58="","",$C58+$D58)</f>
        <v/>
      </c>
      <c r="F58" s="4" t="n"/>
      <c r="G58" s="4" t="n"/>
      <c r="H58" s="4">
        <f t="array" ref="H58">IFERROR(INDEX(calc!$A:$A,MATCH(54,calc!$E:$E,0)),"")</f>
        <v/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70">
      <c r="A59" s="54">
        <f>IF($H59="","",LEFT($H59,FIND("|",$H59)-1))</f>
        <v/>
      </c>
      <c r="B59" s="54">
        <f>IF($H59="","",MID($H59,FIND("|",$H59)+1,50))</f>
        <v/>
      </c>
      <c r="C59" s="31">
        <f>IF($H59="","",SUMIF(calc!$A:$A,$H59,calc!$C:$C))</f>
        <v/>
      </c>
      <c r="D59" s="31">
        <f>IF($H59="","",ROUNDUP($C59*Spares!$B$3,0))</f>
        <v/>
      </c>
      <c r="E59" s="38">
        <f>IF($H59="","",$C59+$D59)</f>
        <v/>
      </c>
      <c r="F59" s="4" t="n"/>
      <c r="G59" s="4" t="n"/>
      <c r="H59" s="4">
        <f t="array" ref="H59">IFERROR(INDEX(calc!$A:$A,MATCH(55,calc!$E:$E,0)),"")</f>
        <v/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70">
      <c r="A60" s="49">
        <f>IF($H60="","",LEFT($H60,FIND("|",$H60)-1))</f>
        <v/>
      </c>
      <c r="B60" s="49">
        <f>IF($H60="","",MID($H60,FIND("|",$H60)+1,50))</f>
        <v/>
      </c>
      <c r="C60" s="51">
        <f>IF($H60="","",SUMIF(calc!$A:$A,$H60,calc!$C:$C))</f>
        <v/>
      </c>
      <c r="D60" s="51">
        <f>IF($H60="","",ROUNDUP($C60*Spares!$B$3,0))</f>
        <v/>
      </c>
      <c r="E60" s="53">
        <f>IF($H60="","",$C60+$D60)</f>
        <v/>
      </c>
      <c r="F60" s="4" t="n"/>
      <c r="G60" s="4" t="n"/>
      <c r="H60" s="4">
        <f t="array" ref="H60">IFERROR(INDEX(calc!$A:$A,MATCH(56,calc!$E:$E,0)),"")</f>
        <v/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70">
      <c r="A61" s="54">
        <f>IF($H61="","",LEFT($H61,FIND("|",$H61)-1))</f>
        <v/>
      </c>
      <c r="B61" s="54">
        <f>IF($H61="","",MID($H61,FIND("|",$H61)+1,50))</f>
        <v/>
      </c>
      <c r="C61" s="31">
        <f>IF($H61="","",SUMIF(calc!$A:$A,$H61,calc!$C:$C))</f>
        <v/>
      </c>
      <c r="D61" s="31">
        <f>IF($H61="","",ROUNDUP($C61*Spares!$B$3,0))</f>
        <v/>
      </c>
      <c r="E61" s="38">
        <f>IF($H61="","",$C61+$D61)</f>
        <v/>
      </c>
      <c r="F61" s="4" t="n"/>
      <c r="G61" s="4" t="n"/>
      <c r="H61" s="4">
        <f t="array" ref="H61">IFERROR(INDEX(calc!$A:$A,MATCH(57,calc!$E:$E,0)),"")</f>
        <v/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70">
      <c r="A62" s="49">
        <f>IF($H62="","",LEFT($H62,FIND("|",$H62)-1))</f>
        <v/>
      </c>
      <c r="B62" s="49">
        <f>IF($H62="","",MID($H62,FIND("|",$H62)+1,50))</f>
        <v/>
      </c>
      <c r="C62" s="51">
        <f>IF($H62="","",SUMIF(calc!$A:$A,$H62,calc!$C:$C))</f>
        <v/>
      </c>
      <c r="D62" s="51">
        <f>IF($H62="","",ROUNDUP($C62*Spares!$B$3,0))</f>
        <v/>
      </c>
      <c r="E62" s="53">
        <f>IF($H62="","",$C62+$D62)</f>
        <v/>
      </c>
      <c r="F62" s="4" t="n"/>
      <c r="G62" s="4" t="n"/>
      <c r="H62" s="4">
        <f t="array" ref="H62">IFERROR(INDEX(calc!$A:$A,MATCH(58,calc!$E:$E,0)),"")</f>
        <v/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70">
      <c r="A63" s="54">
        <f>IF($H63="","",LEFT($H63,FIND("|",$H63)-1))</f>
        <v/>
      </c>
      <c r="B63" s="54">
        <f>IF($H63="","",MID($H63,FIND("|",$H63)+1,50))</f>
        <v/>
      </c>
      <c r="C63" s="31">
        <f>IF($H63="","",SUMIF(calc!$A:$A,$H63,calc!$C:$C))</f>
        <v/>
      </c>
      <c r="D63" s="31">
        <f>IF($H63="","",ROUNDUP($C63*Spares!$B$3,0))</f>
        <v/>
      </c>
      <c r="E63" s="38">
        <f>IF($H63="","",$C63+$D63)</f>
        <v/>
      </c>
      <c r="F63" s="4" t="n"/>
      <c r="G63" s="4" t="n"/>
      <c r="H63" s="4">
        <f t="array" ref="H63">IFERROR(INDEX(calc!$A:$A,MATCH(59,calc!$E:$E,0)),"")</f>
        <v/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70">
      <c r="A64" s="49">
        <f>IF($H64="","",LEFT($H64,FIND("|",$H64)-1))</f>
        <v/>
      </c>
      <c r="B64" s="49">
        <f>IF($H64="","",MID($H64,FIND("|",$H64)+1,50))</f>
        <v/>
      </c>
      <c r="C64" s="51">
        <f>IF($H64="","",SUMIF(calc!$A:$A,$H64,calc!$C:$C))</f>
        <v/>
      </c>
      <c r="D64" s="51">
        <f>IF($H64="","",ROUNDUP($C64*Spares!$B$3,0))</f>
        <v/>
      </c>
      <c r="E64" s="53">
        <f>IF($H64="","",$C64+$D64)</f>
        <v/>
      </c>
      <c r="F64" s="4" t="n"/>
      <c r="G64" s="4" t="n"/>
      <c r="H64" s="4">
        <f t="array" ref="H64">IFERROR(INDEX(calc!$A:$A,MATCH(60,calc!$E:$E,0)),"")</f>
        <v/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70">
      <c r="A65" s="54">
        <f>IF($H65="","",LEFT($H65,FIND("|",$H65)-1))</f>
        <v/>
      </c>
      <c r="B65" s="54">
        <f>IF($H65="","",MID($H65,FIND("|",$H65)+1,50))</f>
        <v/>
      </c>
      <c r="C65" s="31">
        <f>IF($H65="","",SUMIF(calc!$A:$A,$H65,calc!$C:$C))</f>
        <v/>
      </c>
      <c r="D65" s="31">
        <f>IF($H65="","",ROUNDUP($C65*Spares!$B$3,0))</f>
        <v/>
      </c>
      <c r="E65" s="38">
        <f>IF($H65="","",$C65+$D65)</f>
        <v/>
      </c>
      <c r="F65" s="4" t="n"/>
      <c r="G65" s="4" t="n"/>
      <c r="H65" s="4">
        <f t="array" ref="H65">IFERROR(INDEX(calc!$A:$A,MATCH(61,calc!$E:$E,0)),"")</f>
        <v/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70">
      <c r="A66" s="49">
        <f>IF($H66="","",LEFT($H66,FIND("|",$H66)-1))</f>
        <v/>
      </c>
      <c r="B66" s="49">
        <f>IF($H66="","",MID($H66,FIND("|",$H66)+1,50))</f>
        <v/>
      </c>
      <c r="C66" s="51">
        <f>IF($H66="","",SUMIF(calc!$A:$A,$H66,calc!$C:$C))</f>
        <v/>
      </c>
      <c r="D66" s="51">
        <f>IF($H66="","",ROUNDUP($C66*Spares!$B$3,0))</f>
        <v/>
      </c>
      <c r="E66" s="53">
        <f>IF($H66="","",$C66+$D66)</f>
        <v/>
      </c>
      <c r="F66" s="4" t="n"/>
      <c r="G66" s="4" t="n"/>
      <c r="H66" s="4">
        <f t="array" ref="H66">IFERROR(INDEX(calc!$A:$A,MATCH(62,calc!$E:$E,0)),"")</f>
        <v/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70">
      <c r="A67" s="54">
        <f>IF($H67="","",LEFT($H67,FIND("|",$H67)-1))</f>
        <v/>
      </c>
      <c r="B67" s="54">
        <f>IF($H67="","",MID($H67,FIND("|",$H67)+1,50))</f>
        <v/>
      </c>
      <c r="C67" s="31">
        <f>IF($H67="","",SUMIF(calc!$A:$A,$H67,calc!$C:$C))</f>
        <v/>
      </c>
      <c r="D67" s="31">
        <f>IF($H67="","",ROUNDUP($C67*Spares!$B$3,0))</f>
        <v/>
      </c>
      <c r="E67" s="38">
        <f>IF($H67="","",$C67+$D67)</f>
        <v/>
      </c>
      <c r="F67" s="4" t="n"/>
      <c r="G67" s="4" t="n"/>
      <c r="H67" s="4">
        <f t="array" ref="H67">IFERROR(INDEX(calc!$A:$A,MATCH(63,calc!$E:$E,0)),"")</f>
        <v/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70">
      <c r="A68" s="49">
        <f>IF($H68="","",LEFT($H68,FIND("|",$H68)-1))</f>
        <v/>
      </c>
      <c r="B68" s="49">
        <f>IF($H68="","",MID($H68,FIND("|",$H68)+1,50))</f>
        <v/>
      </c>
      <c r="C68" s="51">
        <f>IF($H68="","",SUMIF(calc!$A:$A,$H68,calc!$C:$C))</f>
        <v/>
      </c>
      <c r="D68" s="51">
        <f>IF($H68="","",ROUNDUP($C68*Spares!$B$3,0))</f>
        <v/>
      </c>
      <c r="E68" s="53">
        <f>IF($H68="","",$C68+$D68)</f>
        <v/>
      </c>
      <c r="F68" s="4" t="n"/>
      <c r="G68" s="4" t="n"/>
      <c r="H68" s="4">
        <f t="array" ref="H68">IFERROR(INDEX(calc!$A:$A,MATCH(64,calc!$E:$E,0)),"")</f>
        <v/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70">
      <c r="A69" s="54">
        <f>IF($H69="","",LEFT($H69,FIND("|",$H69)-1))</f>
        <v/>
      </c>
      <c r="B69" s="54">
        <f>IF($H69="","",MID($H69,FIND("|",$H69)+1,50))</f>
        <v/>
      </c>
      <c r="C69" s="31">
        <f>IF($H69="","",SUMIF(calc!$A:$A,$H69,calc!$C:$C))</f>
        <v/>
      </c>
      <c r="D69" s="31">
        <f>IF($H69="","",ROUNDUP($C69*Spares!$B$3,0))</f>
        <v/>
      </c>
      <c r="E69" s="38">
        <f>IF($H69="","",$C69+$D69)</f>
        <v/>
      </c>
      <c r="F69" s="4" t="n"/>
      <c r="G69" s="4" t="n"/>
      <c r="H69" s="4">
        <f t="array" ref="H69">IFERROR(INDEX(calc!$A:$A,MATCH(65,calc!$E:$E,0)),"")</f>
        <v/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70">
      <c r="A70" s="49">
        <f>IF($H70="","",LEFT($H70,FIND("|",$H70)-1))</f>
        <v/>
      </c>
      <c r="B70" s="49">
        <f>IF($H70="","",MID($H70,FIND("|",$H70)+1,50))</f>
        <v/>
      </c>
      <c r="C70" s="51">
        <f>IF($H70="","",SUMIF(calc!$A:$A,$H70,calc!$C:$C))</f>
        <v/>
      </c>
      <c r="D70" s="51">
        <f>IF($H70="","",ROUNDUP($C70*Spares!$B$3,0))</f>
        <v/>
      </c>
      <c r="E70" s="53">
        <f>IF($H70="","",$C70+$D70)</f>
        <v/>
      </c>
      <c r="F70" s="4" t="n"/>
      <c r="G70" s="4" t="n"/>
      <c r="H70" s="4">
        <f t="array" ref="H70">IFERROR(INDEX(calc!$A:$A,MATCH(66,calc!$E:$E,0)),"")</f>
        <v/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70">
      <c r="A71" s="54">
        <f>IF($H71="","",LEFT($H71,FIND("|",$H71)-1))</f>
        <v/>
      </c>
      <c r="B71" s="54">
        <f>IF($H71="","",MID($H71,FIND("|",$H71)+1,50))</f>
        <v/>
      </c>
      <c r="C71" s="31">
        <f>IF($H71="","",SUMIF(calc!$A:$A,$H71,calc!$C:$C))</f>
        <v/>
      </c>
      <c r="D71" s="31">
        <f>IF($H71="","",ROUNDUP($C71*Spares!$B$3,0))</f>
        <v/>
      </c>
      <c r="E71" s="38">
        <f>IF($H71="","",$C71+$D71)</f>
        <v/>
      </c>
      <c r="F71" s="4" t="n"/>
      <c r="G71" s="4" t="n"/>
      <c r="H71" s="4">
        <f t="array" ref="H71">IFERROR(INDEX(calc!$A:$A,MATCH(67,calc!$E:$E,0)),"")</f>
        <v/>
      </c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70">
      <c r="A72" s="49">
        <f>IF($H72="","",LEFT($H72,FIND("|",$H72)-1))</f>
        <v/>
      </c>
      <c r="B72" s="49">
        <f>IF($H72="","",MID($H72,FIND("|",$H72)+1,50))</f>
        <v/>
      </c>
      <c r="C72" s="51">
        <f>IF($H72="","",SUMIF(calc!$A:$A,$H72,calc!$C:$C))</f>
        <v/>
      </c>
      <c r="D72" s="51">
        <f>IF($H72="","",ROUNDUP($C72*Spares!$B$3,0))</f>
        <v/>
      </c>
      <c r="E72" s="53">
        <f>IF($H72="","",$C72+$D72)</f>
        <v/>
      </c>
      <c r="F72" s="4" t="n"/>
      <c r="G72" s="4" t="n"/>
      <c r="H72" s="4">
        <f t="array" ref="H72">IFERROR(INDEX(calc!$A:$A,MATCH(68,calc!$E:$E,0)),"")</f>
        <v/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70">
      <c r="A73" s="54">
        <f>IF($H73="","",LEFT($H73,FIND("|",$H73)-1))</f>
        <v/>
      </c>
      <c r="B73" s="54">
        <f>IF($H73="","",MID($H73,FIND("|",$H73)+1,50))</f>
        <v/>
      </c>
      <c r="C73" s="31">
        <f>IF($H73="","",SUMIF(calc!$A:$A,$H73,calc!$C:$C))</f>
        <v/>
      </c>
      <c r="D73" s="31">
        <f>IF($H73="","",ROUNDUP($C73*Spares!$B$3,0))</f>
        <v/>
      </c>
      <c r="E73" s="38">
        <f>IF($H73="","",$C73+$D73)</f>
        <v/>
      </c>
      <c r="F73" s="4" t="n"/>
      <c r="G73" s="4" t="n"/>
      <c r="H73" s="4">
        <f t="array" ref="H73">IFERROR(INDEX(calc!$A:$A,MATCH(69,calc!$E:$E,0)),"")</f>
        <v/>
      </c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70">
      <c r="A74" s="49">
        <f>IF($H74="","",LEFT($H74,FIND("|",$H74)-1))</f>
        <v/>
      </c>
      <c r="B74" s="49">
        <f>IF($H74="","",MID($H74,FIND("|",$H74)+1,50))</f>
        <v/>
      </c>
      <c r="C74" s="51">
        <f>IF($H74="","",SUMIF(calc!$A:$A,$H74,calc!$C:$C))</f>
        <v/>
      </c>
      <c r="D74" s="51">
        <f>IF($H74="","",ROUNDUP($C74*Spares!$B$3,0))</f>
        <v/>
      </c>
      <c r="E74" s="53">
        <f>IF($H74="","",$C74+$D74)</f>
        <v/>
      </c>
      <c r="F74" s="4" t="n"/>
      <c r="G74" s="4" t="n"/>
      <c r="H74" s="4">
        <f t="array" ref="H74">IFERROR(INDEX(calc!$A:$A,MATCH(70,calc!$E:$E,0)),"")</f>
        <v/>
      </c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70">
      <c r="A75" s="54">
        <f>IF($H75="","",LEFT($H75,FIND("|",$H75)-1))</f>
        <v/>
      </c>
      <c r="B75" s="54">
        <f>IF($H75="","",MID($H75,FIND("|",$H75)+1,50))</f>
        <v/>
      </c>
      <c r="C75" s="31">
        <f>IF($H75="","",SUMIF(calc!$A:$A,$H75,calc!$C:$C))</f>
        <v/>
      </c>
      <c r="D75" s="31">
        <f>IF($H75="","",ROUNDUP($C75*Spares!$B$3,0))</f>
        <v/>
      </c>
      <c r="E75" s="38">
        <f>IF($H75="","",$C75+$D75)</f>
        <v/>
      </c>
      <c r="F75" s="4" t="n"/>
      <c r="G75" s="4" t="n"/>
      <c r="H75" s="4">
        <f t="array" ref="H75">IFERROR(INDEX(calc!$A:$A,MATCH(71,calc!$E:$E,0)),"")</f>
        <v/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70">
      <c r="A76" s="49">
        <f>IF($H76="","",LEFT($H76,FIND("|",$H76)-1))</f>
        <v/>
      </c>
      <c r="B76" s="49">
        <f>IF($H76="","",MID($H76,FIND("|",$H76)+1,50))</f>
        <v/>
      </c>
      <c r="C76" s="51">
        <f>IF($H76="","",SUMIF(calc!$A:$A,$H76,calc!$C:$C))</f>
        <v/>
      </c>
      <c r="D76" s="51">
        <f>IF($H76="","",ROUNDUP($C76*Spares!$B$3,0))</f>
        <v/>
      </c>
      <c r="E76" s="53">
        <f>IF($H76="","",$C76+$D76)</f>
        <v/>
      </c>
      <c r="F76" s="4" t="n"/>
      <c r="G76" s="4" t="n"/>
      <c r="H76" s="4">
        <f t="array" ref="H76">IFERROR(INDEX(calc!$A:$A,MATCH(72,calc!$E:$E,0)),"")</f>
        <v/>
      </c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70">
      <c r="A77" s="54">
        <f>IF($H77="","",LEFT($H77,FIND("|",$H77)-1))</f>
        <v/>
      </c>
      <c r="B77" s="54">
        <f>IF($H77="","",MID($H77,FIND("|",$H77)+1,50))</f>
        <v/>
      </c>
      <c r="C77" s="31">
        <f>IF($H77="","",SUMIF(calc!$A:$A,$H77,calc!$C:$C))</f>
        <v/>
      </c>
      <c r="D77" s="31">
        <f>IF($H77="","",ROUNDUP($C77*Spares!$B$3,0))</f>
        <v/>
      </c>
      <c r="E77" s="38">
        <f>IF($H77="","",$C77+$D77)</f>
        <v/>
      </c>
      <c r="F77" s="4" t="n"/>
      <c r="G77" s="4" t="n"/>
      <c r="H77" s="4">
        <f t="array" ref="H77">IFERROR(INDEX(calc!$A:$A,MATCH(73,calc!$E:$E,0)),"")</f>
        <v/>
      </c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70">
      <c r="A78" s="49">
        <f>IF($H78="","",LEFT($H78,FIND("|",$H78)-1))</f>
        <v/>
      </c>
      <c r="B78" s="49">
        <f>IF($H78="","",MID($H78,FIND("|",$H78)+1,50))</f>
        <v/>
      </c>
      <c r="C78" s="51">
        <f>IF($H78="","",SUMIF(calc!$A:$A,$H78,calc!$C:$C))</f>
        <v/>
      </c>
      <c r="D78" s="51">
        <f>IF($H78="","",ROUNDUP($C78*Spares!$B$3,0))</f>
        <v/>
      </c>
      <c r="E78" s="53">
        <f>IF($H78="","",$C78+$D78)</f>
        <v/>
      </c>
      <c r="F78" s="4" t="n"/>
      <c r="G78" s="4" t="n"/>
      <c r="H78" s="4">
        <f t="array" ref="H78">IFERROR(INDEX(calc!$A:$A,MATCH(74,calc!$E:$E,0)),"")</f>
        <v/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70">
      <c r="A79" s="54">
        <f>IF($H79="","",LEFT($H79,FIND("|",$H79)-1))</f>
        <v/>
      </c>
      <c r="B79" s="54">
        <f>IF($H79="","",MID($H79,FIND("|",$H79)+1,50))</f>
        <v/>
      </c>
      <c r="C79" s="31">
        <f>IF($H79="","",SUMIF(calc!$A:$A,$H79,calc!$C:$C))</f>
        <v/>
      </c>
      <c r="D79" s="31">
        <f>IF($H79="","",ROUNDUP($C79*Spares!$B$3,0))</f>
        <v/>
      </c>
      <c r="E79" s="38">
        <f>IF($H79="","",$C79+$D79)</f>
        <v/>
      </c>
      <c r="F79" s="4" t="n"/>
      <c r="G79" s="4" t="n"/>
      <c r="H79" s="4">
        <f t="array" ref="H79">IFERROR(INDEX(calc!$A:$A,MATCH(75,calc!$E:$E,0)),"")</f>
        <v/>
      </c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70">
      <c r="A80" s="49">
        <f>IF($H80="","",LEFT($H80,FIND("|",$H80)-1))</f>
        <v/>
      </c>
      <c r="B80" s="49">
        <f>IF($H80="","",MID($H80,FIND("|",$H80)+1,50))</f>
        <v/>
      </c>
      <c r="C80" s="51">
        <f>IF($H80="","",SUMIF(calc!$A:$A,$H80,calc!$C:$C))</f>
        <v/>
      </c>
      <c r="D80" s="51">
        <f>IF($H80="","",ROUNDUP($C80*Spares!$B$3,0))</f>
        <v/>
      </c>
      <c r="E80" s="53">
        <f>IF($H80="","",$C80+$D80)</f>
        <v/>
      </c>
      <c r="F80" s="4" t="n"/>
      <c r="G80" s="4" t="n"/>
      <c r="H80" s="4">
        <f t="array" ref="H80">IFERROR(INDEX(calc!$A:$A,MATCH(76,calc!$E:$E,0)),"")</f>
        <v/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70">
      <c r="A81" s="54">
        <f>IF($H81="","",LEFT($H81,FIND("|",$H81)-1))</f>
        <v/>
      </c>
      <c r="B81" s="54">
        <f>IF($H81="","",MID($H81,FIND("|",$H81)+1,50))</f>
        <v/>
      </c>
      <c r="C81" s="31">
        <f>IF($H81="","",SUMIF(calc!$A:$A,$H81,calc!$C:$C))</f>
        <v/>
      </c>
      <c r="D81" s="31">
        <f>IF($H81="","",ROUNDUP($C81*Spares!$B$3,0))</f>
        <v/>
      </c>
      <c r="E81" s="38">
        <f>IF($H81="","",$C81+$D81)</f>
        <v/>
      </c>
      <c r="F81" s="4" t="n"/>
      <c r="G81" s="4" t="n"/>
      <c r="H81" s="4">
        <f t="array" ref="H81">IFERROR(INDEX(calc!$A:$A,MATCH(77,calc!$E:$E,0)),"")</f>
        <v/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70">
      <c r="A82" s="49">
        <f>IF($H82="","",LEFT($H82,FIND("|",$H82)-1))</f>
        <v/>
      </c>
      <c r="B82" s="49">
        <f>IF($H82="","",MID($H82,FIND("|",$H82)+1,50))</f>
        <v/>
      </c>
      <c r="C82" s="51">
        <f>IF($H82="","",SUMIF(calc!$A:$A,$H82,calc!$C:$C))</f>
        <v/>
      </c>
      <c r="D82" s="51">
        <f>IF($H82="","",ROUNDUP($C82*Spares!$B$3,0))</f>
        <v/>
      </c>
      <c r="E82" s="53">
        <f>IF($H82="","",$C82+$D82)</f>
        <v/>
      </c>
      <c r="F82" s="4" t="n"/>
      <c r="G82" s="4" t="n"/>
      <c r="H82" s="4">
        <f t="array" ref="H82">IFERROR(INDEX(calc!$A:$A,MATCH(78,calc!$E:$E,0)),"")</f>
        <v/>
      </c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70">
      <c r="A83" s="54">
        <f>IF($H83="","",LEFT($H83,FIND("|",$H83)-1))</f>
        <v/>
      </c>
      <c r="B83" s="54">
        <f>IF($H83="","",MID($H83,FIND("|",$H83)+1,50))</f>
        <v/>
      </c>
      <c r="C83" s="31">
        <f>IF($H83="","",SUMIF(calc!$A:$A,$H83,calc!$C:$C))</f>
        <v/>
      </c>
      <c r="D83" s="31">
        <f>IF($H83="","",ROUNDUP($C83*Spares!$B$3,0))</f>
        <v/>
      </c>
      <c r="E83" s="38">
        <f>IF($H83="","",$C83+$D83)</f>
        <v/>
      </c>
      <c r="F83" s="4" t="n"/>
      <c r="G83" s="4" t="n"/>
      <c r="H83" s="4">
        <f t="array" ref="H83">IFERROR(INDEX(calc!$A:$A,MATCH(79,calc!$E:$E,0)),"")</f>
        <v/>
      </c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70">
      <c r="A84" s="49">
        <f>IF($H84="","",LEFT($H84,FIND("|",$H84)-1))</f>
        <v/>
      </c>
      <c r="B84" s="49">
        <f>IF($H84="","",MID($H84,FIND("|",$H84)+1,50))</f>
        <v/>
      </c>
      <c r="C84" s="51">
        <f>IF($H84="","",SUMIF(calc!$A:$A,$H84,calc!$C:$C))</f>
        <v/>
      </c>
      <c r="D84" s="51">
        <f>IF($H84="","",ROUNDUP($C84*Spares!$B$3,0))</f>
        <v/>
      </c>
      <c r="E84" s="53">
        <f>IF($H84="","",$C84+$D84)</f>
        <v/>
      </c>
      <c r="F84" s="4" t="n"/>
      <c r="G84" s="4" t="n"/>
      <c r="H84" s="4">
        <f t="array" ref="H84">IFERROR(INDEX(calc!$A:$A,MATCH(80,calc!$E:$E,0)),"")</f>
        <v/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70">
      <c r="A85" s="54">
        <f>IF($H85="","",LEFT($H85,FIND("|",$H85)-1))</f>
        <v/>
      </c>
      <c r="B85" s="54">
        <f>IF($H85="","",MID($H85,FIND("|",$H85)+1,50))</f>
        <v/>
      </c>
      <c r="C85" s="31">
        <f>IF($H85="","",SUMIF(calc!$A:$A,$H85,calc!$C:$C))</f>
        <v/>
      </c>
      <c r="D85" s="31">
        <f>IF($H85="","",ROUNDUP($C85*Spares!$B$3,0))</f>
        <v/>
      </c>
      <c r="E85" s="38">
        <f>IF($H85="","",$C85+$D85)</f>
        <v/>
      </c>
      <c r="F85" s="4" t="n"/>
      <c r="G85" s="4" t="n"/>
      <c r="H85" s="4">
        <f t="array" ref="H85">IFERROR(INDEX(calc!$A:$A,MATCH(81,calc!$E:$E,0)),"")</f>
        <v/>
      </c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70">
      <c r="A86" s="49">
        <f>IF($H86="","",LEFT($H86,FIND("|",$H86)-1))</f>
        <v/>
      </c>
      <c r="B86" s="49">
        <f>IF($H86="","",MID($H86,FIND("|",$H86)+1,50))</f>
        <v/>
      </c>
      <c r="C86" s="51">
        <f>IF($H86="","",SUMIF(calc!$A:$A,$H86,calc!$C:$C))</f>
        <v/>
      </c>
      <c r="D86" s="51">
        <f>IF($H86="","",ROUNDUP($C86*Spares!$B$3,0))</f>
        <v/>
      </c>
      <c r="E86" s="53">
        <f>IF($H86="","",$C86+$D86)</f>
        <v/>
      </c>
      <c r="F86" s="4" t="n"/>
      <c r="G86" s="4" t="n"/>
      <c r="H86" s="4">
        <f t="array" ref="H86">IFERROR(INDEX(calc!$A:$A,MATCH(82,calc!$E:$E,0)),"")</f>
        <v/>
      </c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70">
      <c r="A87" s="54">
        <f>IF($H87="","",LEFT($H87,FIND("|",$H87)-1))</f>
        <v/>
      </c>
      <c r="B87" s="54">
        <f>IF($H87="","",MID($H87,FIND("|",$H87)+1,50))</f>
        <v/>
      </c>
      <c r="C87" s="31">
        <f>IF($H87="","",SUMIF(calc!$A:$A,$H87,calc!$C:$C))</f>
        <v/>
      </c>
      <c r="D87" s="31">
        <f>IF($H87="","",ROUNDUP($C87*Spares!$B$3,0))</f>
        <v/>
      </c>
      <c r="E87" s="38">
        <f>IF($H87="","",$C87+$D87)</f>
        <v/>
      </c>
      <c r="F87" s="4" t="n"/>
      <c r="G87" s="4" t="n"/>
      <c r="H87" s="4">
        <f t="array" ref="H87">IFERROR(INDEX(calc!$A:$A,MATCH(83,calc!$E:$E,0)),"")</f>
        <v/>
      </c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70">
      <c r="A88" s="49">
        <f>IF($H88="","",LEFT($H88,FIND("|",$H88)-1))</f>
        <v/>
      </c>
      <c r="B88" s="49">
        <f>IF($H88="","",MID($H88,FIND("|",$H88)+1,50))</f>
        <v/>
      </c>
      <c r="C88" s="51">
        <f>IF($H88="","",SUMIF(calc!$A:$A,$H88,calc!$C:$C))</f>
        <v/>
      </c>
      <c r="D88" s="51">
        <f>IF($H88="","",ROUNDUP($C88*Spares!$B$3,0))</f>
        <v/>
      </c>
      <c r="E88" s="53">
        <f>IF($H88="","",$C88+$D88)</f>
        <v/>
      </c>
      <c r="F88" s="4" t="n"/>
      <c r="G88" s="4" t="n"/>
      <c r="H88" s="4">
        <f t="array" ref="H88">IFERROR(INDEX(calc!$A:$A,MATCH(84,calc!$E:$E,0)),"")</f>
        <v/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70">
      <c r="A89" s="54">
        <f>IF($H89="","",LEFT($H89,FIND("|",$H89)-1))</f>
        <v/>
      </c>
      <c r="B89" s="54">
        <f>IF($H89="","",MID($H89,FIND("|",$H89)+1,50))</f>
        <v/>
      </c>
      <c r="C89" s="31">
        <f>IF($H89="","",SUMIF(calc!$A:$A,$H89,calc!$C:$C))</f>
        <v/>
      </c>
      <c r="D89" s="31">
        <f>IF($H89="","",ROUNDUP($C89*Spares!$B$3,0))</f>
        <v/>
      </c>
      <c r="E89" s="38">
        <f>IF($H89="","",$C89+$D89)</f>
        <v/>
      </c>
      <c r="F89" s="4" t="n"/>
      <c r="G89" s="4" t="n"/>
      <c r="H89" s="4">
        <f t="array" ref="H89">IFERROR(INDEX(calc!$A:$A,MATCH(85,calc!$E:$E,0)),"")</f>
        <v/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70">
      <c r="A90" s="49">
        <f>IF($H90="","",LEFT($H90,FIND("|",$H90)-1))</f>
        <v/>
      </c>
      <c r="B90" s="49">
        <f>IF($H90="","",MID($H90,FIND("|",$H90)+1,50))</f>
        <v/>
      </c>
      <c r="C90" s="51">
        <f>IF($H90="","",SUMIF(calc!$A:$A,$H90,calc!$C:$C))</f>
        <v/>
      </c>
      <c r="D90" s="51">
        <f>IF($H90="","",ROUNDUP($C90*Spares!$B$3,0))</f>
        <v/>
      </c>
      <c r="E90" s="53">
        <f>IF($H90="","",$C90+$D90)</f>
        <v/>
      </c>
      <c r="F90" s="4" t="n"/>
      <c r="G90" s="4" t="n"/>
      <c r="H90" s="4">
        <f t="array" ref="H90">IFERROR(INDEX(calc!$A:$A,MATCH(86,calc!$E:$E,0)),"")</f>
        <v/>
      </c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70">
      <c r="A91" s="54">
        <f>IF($H91="","",LEFT($H91,FIND("|",$H91)-1))</f>
        <v/>
      </c>
      <c r="B91" s="54">
        <f>IF($H91="","",MID($H91,FIND("|",$H91)+1,50))</f>
        <v/>
      </c>
      <c r="C91" s="31">
        <f>IF($H91="","",SUMIF(calc!$A:$A,$H91,calc!$C:$C))</f>
        <v/>
      </c>
      <c r="D91" s="31">
        <f>IF($H91="","",ROUNDUP($C91*Spares!$B$3,0))</f>
        <v/>
      </c>
      <c r="E91" s="38">
        <f>IF($H91="","",$C91+$D91)</f>
        <v/>
      </c>
      <c r="F91" s="4" t="n"/>
      <c r="G91" s="4" t="n"/>
      <c r="H91" s="4">
        <f t="array" ref="H91">IFERROR(INDEX(calc!$A:$A,MATCH(87,calc!$E:$E,0)),"")</f>
        <v/>
      </c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70">
      <c r="A92" s="49">
        <f>IF($H92="","",LEFT($H92,FIND("|",$H92)-1))</f>
        <v/>
      </c>
      <c r="B92" s="49">
        <f>IF($H92="","",MID($H92,FIND("|",$H92)+1,50))</f>
        <v/>
      </c>
      <c r="C92" s="51">
        <f>IF($H92="","",SUMIF(calc!$A:$A,$H92,calc!$C:$C))</f>
        <v/>
      </c>
      <c r="D92" s="51">
        <f>IF($H92="","",ROUNDUP($C92*Spares!$B$3,0))</f>
        <v/>
      </c>
      <c r="E92" s="53">
        <f>IF($H92="","",$C92+$D92)</f>
        <v/>
      </c>
      <c r="F92" s="4" t="n"/>
      <c r="G92" s="4" t="n"/>
      <c r="H92" s="4">
        <f t="array" ref="H92">IFERROR(INDEX(calc!$A:$A,MATCH(88,calc!$E:$E,0)),"")</f>
        <v/>
      </c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70">
      <c r="A93" s="54">
        <f>IF($H93="","",LEFT($H93,FIND("|",$H93)-1))</f>
        <v/>
      </c>
      <c r="B93" s="54">
        <f>IF($H93="","",MID($H93,FIND("|",$H93)+1,50))</f>
        <v/>
      </c>
      <c r="C93" s="31">
        <f>IF($H93="","",SUMIF(calc!$A:$A,$H93,calc!$C:$C))</f>
        <v/>
      </c>
      <c r="D93" s="31">
        <f>IF($H93="","",ROUNDUP($C93*Spares!$B$3,0))</f>
        <v/>
      </c>
      <c r="E93" s="38">
        <f>IF($H93="","",$C93+$D93)</f>
        <v/>
      </c>
      <c r="F93" s="4" t="n"/>
      <c r="G93" s="4" t="n"/>
      <c r="H93" s="4">
        <f t="array" ref="H93">IFERROR(INDEX(calc!$A:$A,MATCH(89,calc!$E:$E,0)),"")</f>
        <v/>
      </c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70">
      <c r="A94" s="49">
        <f>IF($H94="","",LEFT($H94,FIND("|",$H94)-1))</f>
        <v/>
      </c>
      <c r="B94" s="49">
        <f>IF($H94="","",MID($H94,FIND("|",$H94)+1,50))</f>
        <v/>
      </c>
      <c r="C94" s="51">
        <f>IF($H94="","",SUMIF(calc!$A:$A,$H94,calc!$C:$C))</f>
        <v/>
      </c>
      <c r="D94" s="51">
        <f>IF($H94="","",ROUNDUP($C94*Spares!$B$3,0))</f>
        <v/>
      </c>
      <c r="E94" s="53">
        <f>IF($H94="","",$C94+$D94)</f>
        <v/>
      </c>
      <c r="F94" s="4" t="n"/>
      <c r="G94" s="4" t="n"/>
      <c r="H94" s="4">
        <f t="array" ref="H94">IFERROR(INDEX(calc!$A:$A,MATCH(90,calc!$E:$E,0)),"")</f>
        <v/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70">
      <c r="A95" s="54">
        <f>IF($H95="","",LEFT($H95,FIND("|",$H95)-1))</f>
        <v/>
      </c>
      <c r="B95" s="54">
        <f>IF($H95="","",MID($H95,FIND("|",$H95)+1,50))</f>
        <v/>
      </c>
      <c r="C95" s="31">
        <f>IF($H95="","",SUMIF(calc!$A:$A,$H95,calc!$C:$C))</f>
        <v/>
      </c>
      <c r="D95" s="31">
        <f>IF($H95="","",ROUNDUP($C95*Spares!$B$3,0))</f>
        <v/>
      </c>
      <c r="E95" s="38">
        <f>IF($H95="","",$C95+$D95)</f>
        <v/>
      </c>
      <c r="F95" s="4" t="n"/>
      <c r="G95" s="4" t="n"/>
      <c r="H95" s="4">
        <f t="array" ref="H95">IFERROR(INDEX(calc!$A:$A,MATCH(91,calc!$E:$E,0)),"")</f>
        <v/>
      </c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70">
      <c r="A96" s="49">
        <f>IF($H96="","",LEFT($H96,FIND("|",$H96)-1))</f>
        <v/>
      </c>
      <c r="B96" s="49">
        <f>IF($H96="","",MID($H96,FIND("|",$H96)+1,50))</f>
        <v/>
      </c>
      <c r="C96" s="51">
        <f>IF($H96="","",SUMIF(calc!$A:$A,$H96,calc!$C:$C))</f>
        <v/>
      </c>
      <c r="D96" s="51">
        <f>IF($H96="","",ROUNDUP($C96*Spares!$B$3,0))</f>
        <v/>
      </c>
      <c r="E96" s="53">
        <f>IF($H96="","",$C96+$D96)</f>
        <v/>
      </c>
      <c r="F96" s="4" t="n"/>
      <c r="G96" s="4" t="n"/>
      <c r="H96" s="4">
        <f t="array" ref="H96">IFERROR(INDEX(calc!$A:$A,MATCH(92,calc!$E:$E,0)),"")</f>
        <v/>
      </c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70">
      <c r="A97" s="54">
        <f>IF($H97="","",LEFT($H97,FIND("|",$H97)-1))</f>
        <v/>
      </c>
      <c r="B97" s="54">
        <f>IF($H97="","",MID($H97,FIND("|",$H97)+1,50))</f>
        <v/>
      </c>
      <c r="C97" s="31">
        <f>IF($H97="","",SUMIF(calc!$A:$A,$H97,calc!$C:$C))</f>
        <v/>
      </c>
      <c r="D97" s="31">
        <f>IF($H97="","",ROUNDUP($C97*Spares!$B$3,0))</f>
        <v/>
      </c>
      <c r="E97" s="38">
        <f>IF($H97="","",$C97+$D97)</f>
        <v/>
      </c>
      <c r="F97" s="4" t="n"/>
      <c r="G97" s="4" t="n"/>
      <c r="H97" s="4">
        <f t="array" ref="H97">IFERROR(INDEX(calc!$A:$A,MATCH(93,calc!$E:$E,0)),"")</f>
        <v/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70">
      <c r="A98" s="49">
        <f>IF($H98="","",LEFT($H98,FIND("|",$H98)-1))</f>
        <v/>
      </c>
      <c r="B98" s="49">
        <f>IF($H98="","",MID($H98,FIND("|",$H98)+1,50))</f>
        <v/>
      </c>
      <c r="C98" s="51">
        <f>IF($H98="","",SUMIF(calc!$A:$A,$H98,calc!$C:$C))</f>
        <v/>
      </c>
      <c r="D98" s="51">
        <f>IF($H98="","",ROUNDUP($C98*Spares!$B$3,0))</f>
        <v/>
      </c>
      <c r="E98" s="53">
        <f>IF($H98="","",$C98+$D98)</f>
        <v/>
      </c>
      <c r="F98" s="4" t="n"/>
      <c r="G98" s="4" t="n"/>
      <c r="H98" s="4">
        <f t="array" ref="H98">IFERROR(INDEX(calc!$A:$A,MATCH(94,calc!$E:$E,0)),"")</f>
        <v/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70">
      <c r="A99" s="54">
        <f>IF($H99="","",LEFT($H99,FIND("|",$H99)-1))</f>
        <v/>
      </c>
      <c r="B99" s="54">
        <f>IF($H99="","",MID($H99,FIND("|",$H99)+1,50))</f>
        <v/>
      </c>
      <c r="C99" s="31">
        <f>IF($H99="","",SUMIF(calc!$A:$A,$H99,calc!$C:$C))</f>
        <v/>
      </c>
      <c r="D99" s="31">
        <f>IF($H99="","",ROUNDUP($C99*Spares!$B$3,0))</f>
        <v/>
      </c>
      <c r="E99" s="38">
        <f>IF($H99="","",$C99+$D99)</f>
        <v/>
      </c>
      <c r="F99" s="4" t="n"/>
      <c r="G99" s="4" t="n"/>
      <c r="H99" s="4">
        <f t="array" ref="H99">IFERROR(INDEX(calc!$A:$A,MATCH(95,calc!$E:$E,0)),"")</f>
        <v/>
      </c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70">
      <c r="A100" s="49">
        <f>IF($H100="","",LEFT($H100,FIND("|",$H100)-1))</f>
        <v/>
      </c>
      <c r="B100" s="49">
        <f>IF($H100="","",MID($H100,FIND("|",$H100)+1,50))</f>
        <v/>
      </c>
      <c r="C100" s="51">
        <f>IF($H100="","",SUMIF(calc!$A:$A,$H100,calc!$C:$C))</f>
        <v/>
      </c>
      <c r="D100" s="51">
        <f>IF($H100="","",ROUNDUP($C100*Spares!$B$3,0))</f>
        <v/>
      </c>
      <c r="E100" s="53">
        <f>IF($H100="","",$C100+$D100)</f>
        <v/>
      </c>
      <c r="F100" s="4" t="n"/>
      <c r="G100" s="4" t="n"/>
      <c r="H100" s="4">
        <f t="array" ref="H100">IFERROR(INDEX(calc!$A:$A,MATCH(96,calc!$E:$E,0)),"")</f>
        <v/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70">
      <c r="A101" s="54">
        <f>IF($H101="","",LEFT($H101,FIND("|",$H101)-1))</f>
        <v/>
      </c>
      <c r="B101" s="54">
        <f>IF($H101="","",MID($H101,FIND("|",$H101)+1,50))</f>
        <v/>
      </c>
      <c r="C101" s="31">
        <f>IF($H101="","",SUMIF(calc!$A:$A,$H101,calc!$C:$C))</f>
        <v/>
      </c>
      <c r="D101" s="31">
        <f>IF($H101="","",ROUNDUP($C101*Spares!$B$3,0))</f>
        <v/>
      </c>
      <c r="E101" s="38">
        <f>IF($H101="","",$C101+$D101)</f>
        <v/>
      </c>
      <c r="F101" s="4" t="n"/>
      <c r="G101" s="4" t="n"/>
      <c r="H101" s="4">
        <f t="array" ref="H101">IFERROR(INDEX(calc!$A:$A,MATCH(97,calc!$E:$E,0)),"")</f>
        <v/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70">
      <c r="A102" s="49">
        <f>IF($H102="","",LEFT($H102,FIND("|",$H102)-1))</f>
        <v/>
      </c>
      <c r="B102" s="49">
        <f>IF($H102="","",MID($H102,FIND("|",$H102)+1,50))</f>
        <v/>
      </c>
      <c r="C102" s="51">
        <f>IF($H102="","",SUMIF(calc!$A:$A,$H102,calc!$C:$C))</f>
        <v/>
      </c>
      <c r="D102" s="51">
        <f>IF($H102="","",ROUNDUP($C102*Spares!$B$3,0))</f>
        <v/>
      </c>
      <c r="E102" s="53">
        <f>IF($H102="","",$C102+$D102)</f>
        <v/>
      </c>
      <c r="F102" s="4" t="n"/>
      <c r="G102" s="4" t="n"/>
      <c r="H102" s="4">
        <f t="array" ref="H102">IFERROR(INDEX(calc!$A:$A,MATCH(98,calc!$E:$E,0)),"")</f>
        <v/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70">
      <c r="A103" s="54">
        <f>IF($H103="","",LEFT($H103,FIND("|",$H103)-1))</f>
        <v/>
      </c>
      <c r="B103" s="54">
        <f>IF($H103="","",MID($H103,FIND("|",$H103)+1,50))</f>
        <v/>
      </c>
      <c r="C103" s="31">
        <f>IF($H103="","",SUMIF(calc!$A:$A,$H103,calc!$C:$C))</f>
        <v/>
      </c>
      <c r="D103" s="31">
        <f>IF($H103="","",ROUNDUP($C103*Spares!$B$3,0))</f>
        <v/>
      </c>
      <c r="E103" s="38">
        <f>IF($H103="","",$C103+$D103)</f>
        <v/>
      </c>
      <c r="F103" s="4" t="n"/>
      <c r="G103" s="4" t="n"/>
      <c r="H103" s="4">
        <f t="array" ref="H103">IFERROR(INDEX(calc!$A:$A,MATCH(99,calc!$E:$E,0)),"")</f>
        <v/>
      </c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70">
      <c r="A104" s="49">
        <f>IF($H104="","",LEFT($H104,FIND("|",$H104)-1))</f>
        <v/>
      </c>
      <c r="B104" s="49">
        <f>IF($H104="","",MID($H104,FIND("|",$H104)+1,50))</f>
        <v/>
      </c>
      <c r="C104" s="51">
        <f>IF($H104="","",SUMIF(calc!$A:$A,$H104,calc!$C:$C))</f>
        <v/>
      </c>
      <c r="D104" s="51">
        <f>IF($H104="","",ROUNDUP($C104*Spares!$B$3,0))</f>
        <v/>
      </c>
      <c r="E104" s="53">
        <f>IF($H104="","",$C104+$D104)</f>
        <v/>
      </c>
      <c r="F104" s="4" t="n"/>
      <c r="G104" s="4" t="n"/>
      <c r="H104" s="4">
        <f t="array" ref="H104">IFERROR(INDEX(calc!$A:$A,MATCH(100,calc!$E:$E,0)),"")</f>
        <v/>
      </c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70">
      <c r="A105" s="54">
        <f>IF($H105="","",LEFT($H105,FIND("|",$H105)-1))</f>
        <v/>
      </c>
      <c r="B105" s="54">
        <f>IF($H105="","",MID($H105,FIND("|",$H105)+1,50))</f>
        <v/>
      </c>
      <c r="C105" s="31">
        <f>IF($H105="","",SUMIF(calc!$A:$A,$H105,calc!$C:$C))</f>
        <v/>
      </c>
      <c r="D105" s="31">
        <f>IF($H105="","",ROUNDUP($C105*Spares!$B$3,0))</f>
        <v/>
      </c>
      <c r="E105" s="38">
        <f>IF($H105="","",$C105+$D105)</f>
        <v/>
      </c>
      <c r="F105" s="4" t="n"/>
      <c r="G105" s="4" t="n"/>
      <c r="H105" s="4">
        <f t="array" ref="H105">IFERROR(INDEX(calc!$A:$A,MATCH(101,calc!$E:$E,0)),"")</f>
        <v/>
      </c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70">
      <c r="A106" s="49">
        <f>IF($H106="","",LEFT($H106,FIND("|",$H106)-1))</f>
        <v/>
      </c>
      <c r="B106" s="49">
        <f>IF($H106="","",MID($H106,FIND("|",$H106)+1,50))</f>
        <v/>
      </c>
      <c r="C106" s="51">
        <f>IF($H106="","",SUMIF(calc!$A:$A,$H106,calc!$C:$C))</f>
        <v/>
      </c>
      <c r="D106" s="51">
        <f>IF($H106="","",ROUNDUP($C106*Spares!$B$3,0))</f>
        <v/>
      </c>
      <c r="E106" s="53">
        <f>IF($H106="","",$C106+$D106)</f>
        <v/>
      </c>
      <c r="F106" s="4" t="n"/>
      <c r="G106" s="4" t="n"/>
      <c r="H106" s="4">
        <f t="array" ref="H106">IFERROR(INDEX(calc!$A:$A,MATCH(102,calc!$E:$E,0)),"")</f>
        <v/>
      </c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70">
      <c r="A107" s="54">
        <f>IF($H107="","",LEFT($H107,FIND("|",$H107)-1))</f>
        <v/>
      </c>
      <c r="B107" s="54">
        <f>IF($H107="","",MID($H107,FIND("|",$H107)+1,50))</f>
        <v/>
      </c>
      <c r="C107" s="31">
        <f>IF($H107="","",SUMIF(calc!$A:$A,$H107,calc!$C:$C))</f>
        <v/>
      </c>
      <c r="D107" s="31">
        <f>IF($H107="","",ROUNDUP($C107*Spares!$B$3,0))</f>
        <v/>
      </c>
      <c r="E107" s="38">
        <f>IF($H107="","",$C107+$D107)</f>
        <v/>
      </c>
      <c r="F107" s="4" t="n"/>
      <c r="G107" s="4" t="n"/>
      <c r="H107" s="4">
        <f t="array" ref="H107">IFERROR(INDEX(calc!$A:$A,MATCH(103,calc!$E:$E,0)),"")</f>
        <v/>
      </c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70">
      <c r="A108" s="49">
        <f>IF($H108="","",LEFT($H108,FIND("|",$H108)-1))</f>
        <v/>
      </c>
      <c r="B108" s="49">
        <f>IF($H108="","",MID($H108,FIND("|",$H108)+1,50))</f>
        <v/>
      </c>
      <c r="C108" s="51">
        <f>IF($H108="","",SUMIF(calc!$A:$A,$H108,calc!$C:$C))</f>
        <v/>
      </c>
      <c r="D108" s="51">
        <f>IF($H108="","",ROUNDUP($C108*Spares!$B$3,0))</f>
        <v/>
      </c>
      <c r="E108" s="53">
        <f>IF($H108="","",$C108+$D108)</f>
        <v/>
      </c>
      <c r="F108" s="4" t="n"/>
      <c r="G108" s="4" t="n"/>
      <c r="H108" s="4">
        <f t="array" ref="H108">IFERROR(INDEX(calc!$A:$A,MATCH(104,calc!$E:$E,0)),"")</f>
        <v/>
      </c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70">
      <c r="A109" s="54">
        <f>IF($H109="","",LEFT($H109,FIND("|",$H109)-1))</f>
        <v/>
      </c>
      <c r="B109" s="54">
        <f>IF($H109="","",MID($H109,FIND("|",$H109)+1,50))</f>
        <v/>
      </c>
      <c r="C109" s="31">
        <f>IF($H109="","",SUMIF(calc!$A:$A,$H109,calc!$C:$C))</f>
        <v/>
      </c>
      <c r="D109" s="31">
        <f>IF($H109="","",ROUNDUP($C109*Spares!$B$3,0))</f>
        <v/>
      </c>
      <c r="E109" s="38">
        <f>IF($H109="","",$C109+$D109)</f>
        <v/>
      </c>
      <c r="F109" s="4" t="n"/>
      <c r="G109" s="4" t="n"/>
      <c r="H109" s="4">
        <f t="array" ref="H109">IFERROR(INDEX(calc!$A:$A,MATCH(105,calc!$E:$E,0)),"")</f>
        <v/>
      </c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70">
      <c r="A110" s="49">
        <f>IF($H110="","",LEFT($H110,FIND("|",$H110)-1))</f>
        <v/>
      </c>
      <c r="B110" s="49">
        <f>IF($H110="","",MID($H110,FIND("|",$H110)+1,50))</f>
        <v/>
      </c>
      <c r="C110" s="51">
        <f>IF($H110="","",SUMIF(calc!$A:$A,$H110,calc!$C:$C))</f>
        <v/>
      </c>
      <c r="D110" s="51">
        <f>IF($H110="","",ROUNDUP($C110*Spares!$B$3,0))</f>
        <v/>
      </c>
      <c r="E110" s="53">
        <f>IF($H110="","",$C110+$D110)</f>
        <v/>
      </c>
      <c r="F110" s="4" t="n"/>
      <c r="G110" s="4" t="n"/>
      <c r="H110" s="4">
        <f t="array" ref="H110">IFERROR(INDEX(calc!$A:$A,MATCH(106,calc!$E:$E,0)),"")</f>
        <v/>
      </c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70">
      <c r="A111" s="54">
        <f>IF($H111="","",LEFT($H111,FIND("|",$H111)-1))</f>
        <v/>
      </c>
      <c r="B111" s="54">
        <f>IF($H111="","",MID($H111,FIND("|",$H111)+1,50))</f>
        <v/>
      </c>
      <c r="C111" s="31">
        <f>IF($H111="","",SUMIF(calc!$A:$A,$H111,calc!$C:$C))</f>
        <v/>
      </c>
      <c r="D111" s="31">
        <f>IF($H111="","",ROUNDUP($C111*Spares!$B$3,0))</f>
        <v/>
      </c>
      <c r="E111" s="38">
        <f>IF($H111="","",$C111+$D111)</f>
        <v/>
      </c>
      <c r="F111" s="4" t="n"/>
      <c r="G111" s="4" t="n"/>
      <c r="H111" s="4">
        <f t="array" ref="H111">IFERROR(INDEX(calc!$A:$A,MATCH(107,calc!$E:$E,0)),"")</f>
        <v/>
      </c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70">
      <c r="A112" s="49">
        <f>IF($H112="","",LEFT($H112,FIND("|",$H112)-1))</f>
        <v/>
      </c>
      <c r="B112" s="49">
        <f>IF($H112="","",MID($H112,FIND("|",$H112)+1,50))</f>
        <v/>
      </c>
      <c r="C112" s="51">
        <f>IF($H112="","",SUMIF(calc!$A:$A,$H112,calc!$C:$C))</f>
        <v/>
      </c>
      <c r="D112" s="51">
        <f>IF($H112="","",ROUNDUP($C112*Spares!$B$3,0))</f>
        <v/>
      </c>
      <c r="E112" s="53">
        <f>IF($H112="","",$C112+$D112)</f>
        <v/>
      </c>
      <c r="F112" s="4" t="n"/>
      <c r="G112" s="4" t="n"/>
      <c r="H112" s="4">
        <f t="array" ref="H112">IFERROR(INDEX(calc!$A:$A,MATCH(108,calc!$E:$E,0)),"")</f>
        <v/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70">
      <c r="A113" s="54">
        <f>IF($H113="","",LEFT($H113,FIND("|",$H113)-1))</f>
        <v/>
      </c>
      <c r="B113" s="54">
        <f>IF($H113="","",MID($H113,FIND("|",$H113)+1,50))</f>
        <v/>
      </c>
      <c r="C113" s="31">
        <f>IF($H113="","",SUMIF(calc!$A:$A,$H113,calc!$C:$C))</f>
        <v/>
      </c>
      <c r="D113" s="31">
        <f>IF($H113="","",ROUNDUP($C113*Spares!$B$3,0))</f>
        <v/>
      </c>
      <c r="E113" s="38">
        <f>IF($H113="","",$C113+$D113)</f>
        <v/>
      </c>
      <c r="F113" s="4" t="n"/>
      <c r="G113" s="4" t="n"/>
      <c r="H113" s="4">
        <f t="array" ref="H113">IFERROR(INDEX(calc!$A:$A,MATCH(109,calc!$E:$E,0)),"")</f>
        <v/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70">
      <c r="A114" s="49">
        <f>IF($H114="","",LEFT($H114,FIND("|",$H114)-1))</f>
        <v/>
      </c>
      <c r="B114" s="49">
        <f>IF($H114="","",MID($H114,FIND("|",$H114)+1,50))</f>
        <v/>
      </c>
      <c r="C114" s="51">
        <f>IF($H114="","",SUMIF(calc!$A:$A,$H114,calc!$C:$C))</f>
        <v/>
      </c>
      <c r="D114" s="51">
        <f>IF($H114="","",ROUNDUP($C114*Spares!$B$3,0))</f>
        <v/>
      </c>
      <c r="E114" s="53">
        <f>IF($H114="","",$C114+$D114)</f>
        <v/>
      </c>
      <c r="F114" s="4" t="n"/>
      <c r="G114" s="4" t="n"/>
      <c r="H114" s="4">
        <f t="array" ref="H114">IFERROR(INDEX(calc!$A:$A,MATCH(110,calc!$E:$E,0)),"")</f>
        <v/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70">
      <c r="A115" s="54">
        <f>IF($H115="","",LEFT($H115,FIND("|",$H115)-1))</f>
        <v/>
      </c>
      <c r="B115" s="54">
        <f>IF($H115="","",MID($H115,FIND("|",$H115)+1,50))</f>
        <v/>
      </c>
      <c r="C115" s="31">
        <f>IF($H115="","",SUMIF(calc!$A:$A,$H115,calc!$C:$C))</f>
        <v/>
      </c>
      <c r="D115" s="31">
        <f>IF($H115="","",ROUNDUP($C115*Spares!$B$3,0))</f>
        <v/>
      </c>
      <c r="E115" s="38">
        <f>IF($H115="","",$C115+$D115)</f>
        <v/>
      </c>
      <c r="F115" s="4" t="n"/>
      <c r="G115" s="4" t="n"/>
      <c r="H115" s="4">
        <f t="array" ref="H115">IFERROR(INDEX(calc!$A:$A,MATCH(111,calc!$E:$E,0)),"")</f>
        <v/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70">
      <c r="A116" s="49">
        <f>IF($H116="","",LEFT($H116,FIND("|",$H116)-1))</f>
        <v/>
      </c>
      <c r="B116" s="49">
        <f>IF($H116="","",MID($H116,FIND("|",$H116)+1,50))</f>
        <v/>
      </c>
      <c r="C116" s="51">
        <f>IF($H116="","",SUMIF(calc!$A:$A,$H116,calc!$C:$C))</f>
        <v/>
      </c>
      <c r="D116" s="51">
        <f>IF($H116="","",ROUNDUP($C116*Spares!$B$3,0))</f>
        <v/>
      </c>
      <c r="E116" s="53">
        <f>IF($H116="","",$C116+$D116)</f>
        <v/>
      </c>
      <c r="F116" s="4" t="n"/>
      <c r="G116" s="4" t="n"/>
      <c r="H116" s="4">
        <f t="array" ref="H116">IFERROR(INDEX(calc!$A:$A,MATCH(112,calc!$E:$E,0)),"")</f>
        <v/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70">
      <c r="A117" s="54">
        <f>IF($H117="","",LEFT($H117,FIND("|",$H117)-1))</f>
        <v/>
      </c>
      <c r="B117" s="54">
        <f>IF($H117="","",MID($H117,FIND("|",$H117)+1,50))</f>
        <v/>
      </c>
      <c r="C117" s="31">
        <f>IF($H117="","",SUMIF(calc!$A:$A,$H117,calc!$C:$C))</f>
        <v/>
      </c>
      <c r="D117" s="31">
        <f>IF($H117="","",ROUNDUP($C117*Spares!$B$3,0))</f>
        <v/>
      </c>
      <c r="E117" s="38">
        <f>IF($H117="","",$C117+$D117)</f>
        <v/>
      </c>
      <c r="F117" s="4" t="n"/>
      <c r="G117" s="4" t="n"/>
      <c r="H117" s="4">
        <f t="array" ref="H117">IFERROR(INDEX(calc!$A:$A,MATCH(113,calc!$E:$E,0)),"")</f>
        <v/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70">
      <c r="A118" s="49">
        <f>IF($H118="","",LEFT($H118,FIND("|",$H118)-1))</f>
        <v/>
      </c>
      <c r="B118" s="49">
        <f>IF($H118="","",MID($H118,FIND("|",$H118)+1,50))</f>
        <v/>
      </c>
      <c r="C118" s="51">
        <f>IF($H118="","",SUMIF(calc!$A:$A,$H118,calc!$C:$C))</f>
        <v/>
      </c>
      <c r="D118" s="51">
        <f>IF($H118="","",ROUNDUP($C118*Spares!$B$3,0))</f>
        <v/>
      </c>
      <c r="E118" s="53">
        <f>IF($H118="","",$C118+$D118)</f>
        <v/>
      </c>
      <c r="F118" s="4" t="n"/>
      <c r="G118" s="4" t="n"/>
      <c r="H118" s="4">
        <f t="array" ref="H118">IFERROR(INDEX(calc!$A:$A,MATCH(114,calc!$E:$E,0)),"")</f>
        <v/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70">
      <c r="A119" s="54">
        <f>IF($H119="","",LEFT($H119,FIND("|",$H119)-1))</f>
        <v/>
      </c>
      <c r="B119" s="54">
        <f>IF($H119="","",MID($H119,FIND("|",$H119)+1,50))</f>
        <v/>
      </c>
      <c r="C119" s="31">
        <f>IF($H119="","",SUMIF(calc!$A:$A,$H119,calc!$C:$C))</f>
        <v/>
      </c>
      <c r="D119" s="31">
        <f>IF($H119="","",ROUNDUP($C119*Spares!$B$3,0))</f>
        <v/>
      </c>
      <c r="E119" s="38">
        <f>IF($H119="","",$C119+$D119)</f>
        <v/>
      </c>
      <c r="F119" s="4" t="n"/>
      <c r="G119" s="4" t="n"/>
      <c r="H119" s="4">
        <f t="array" ref="H119">IFERROR(INDEX(calc!$A:$A,MATCH(115,calc!$E:$E,0)),"")</f>
        <v/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70">
      <c r="A120" s="49">
        <f>IF($H120="","",LEFT($H120,FIND("|",$H120)-1))</f>
        <v/>
      </c>
      <c r="B120" s="49">
        <f>IF($H120="","",MID($H120,FIND("|",$H120)+1,50))</f>
        <v/>
      </c>
      <c r="C120" s="51">
        <f>IF($H120="","",SUMIF(calc!$A:$A,$H120,calc!$C:$C))</f>
        <v/>
      </c>
      <c r="D120" s="51">
        <f>IF($H120="","",ROUNDUP($C120*Spares!$B$3,0))</f>
        <v/>
      </c>
      <c r="E120" s="53">
        <f>IF($H120="","",$C120+$D120)</f>
        <v/>
      </c>
      <c r="F120" s="4" t="n"/>
      <c r="G120" s="4" t="n"/>
      <c r="H120" s="4">
        <f t="array" ref="H120">IFERROR(INDEX(calc!$A:$A,MATCH(116,calc!$E:$E,0)),"")</f>
        <v/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70">
      <c r="A121" s="54">
        <f>IF($H121="","",LEFT($H121,FIND("|",$H121)-1))</f>
        <v/>
      </c>
      <c r="B121" s="54">
        <f>IF($H121="","",MID($H121,FIND("|",$H121)+1,50))</f>
        <v/>
      </c>
      <c r="C121" s="31">
        <f>IF($H121="","",SUMIF(calc!$A:$A,$H121,calc!$C:$C))</f>
        <v/>
      </c>
      <c r="D121" s="31">
        <f>IF($H121="","",ROUNDUP($C121*Spares!$B$3,0))</f>
        <v/>
      </c>
      <c r="E121" s="38">
        <f>IF($H121="","",$C121+$D121)</f>
        <v/>
      </c>
      <c r="F121" s="4" t="n"/>
      <c r="G121" s="4" t="n"/>
      <c r="H121" s="4">
        <f t="array" ref="H121">IFERROR(INDEX(calc!$A:$A,MATCH(117,calc!$E:$E,0)),"")</f>
        <v/>
      </c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70">
      <c r="A122" s="49">
        <f>IF($H122="","",LEFT($H122,FIND("|",$H122)-1))</f>
        <v/>
      </c>
      <c r="B122" s="49">
        <f>IF($H122="","",MID($H122,FIND("|",$H122)+1,50))</f>
        <v/>
      </c>
      <c r="C122" s="51">
        <f>IF($H122="","",SUMIF(calc!$A:$A,$H122,calc!$C:$C))</f>
        <v/>
      </c>
      <c r="D122" s="51">
        <f>IF($H122="","",ROUNDUP($C122*Spares!$B$3,0))</f>
        <v/>
      </c>
      <c r="E122" s="53">
        <f>IF($H122="","",$C122+$D122)</f>
        <v/>
      </c>
      <c r="F122" s="4" t="n"/>
      <c r="G122" s="4" t="n"/>
      <c r="H122" s="4">
        <f t="array" ref="H122">IFERROR(INDEX(calc!$A:$A,MATCH(118,calc!$E:$E,0)),"")</f>
        <v/>
      </c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70">
      <c r="A123" s="54">
        <f>IF($H123="","",LEFT($H123,FIND("|",$H123)-1))</f>
        <v/>
      </c>
      <c r="B123" s="54">
        <f>IF($H123="","",MID($H123,FIND("|",$H123)+1,50))</f>
        <v/>
      </c>
      <c r="C123" s="31">
        <f>IF($H123="","",SUMIF(calc!$A:$A,$H123,calc!$C:$C))</f>
        <v/>
      </c>
      <c r="D123" s="31">
        <f>IF($H123="","",ROUNDUP($C123*Spares!$B$3,0))</f>
        <v/>
      </c>
      <c r="E123" s="38">
        <f>IF($H123="","",$C123+$D123)</f>
        <v/>
      </c>
      <c r="F123" s="4" t="n"/>
      <c r="G123" s="4" t="n"/>
      <c r="H123" s="4">
        <f t="array" ref="H123">IFERROR(INDEX(calc!$A:$A,MATCH(119,calc!$E:$E,0)),"")</f>
        <v/>
      </c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70">
      <c r="A124" s="49">
        <f>IF($H124="","",LEFT($H124,FIND("|",$H124)-1))</f>
        <v/>
      </c>
      <c r="B124" s="49">
        <f>IF($H124="","",MID($H124,FIND("|",$H124)+1,50))</f>
        <v/>
      </c>
      <c r="C124" s="51">
        <f>IF($H124="","",SUMIF(calc!$A:$A,$H124,calc!$C:$C))</f>
        <v/>
      </c>
      <c r="D124" s="51">
        <f>IF($H124="","",ROUNDUP($C124*Spares!$B$3,0))</f>
        <v/>
      </c>
      <c r="E124" s="53">
        <f>IF($H124="","",$C124+$D124)</f>
        <v/>
      </c>
      <c r="F124" s="4" t="n"/>
      <c r="G124" s="4" t="n"/>
      <c r="H124" s="4">
        <f t="array" ref="H124">IFERROR(INDEX(calc!$A:$A,MATCH(120,calc!$E:$E,0)),"")</f>
        <v/>
      </c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70">
      <c r="A125" s="58" t="inlineStr">
        <is>
          <t>GRAND TOTAL</t>
        </is>
      </c>
      <c r="B125" s="59" t="n"/>
      <c r="C125" s="60">
        <f>SUM(C5:C124)</f>
        <v/>
      </c>
      <c r="D125" s="60">
        <f>SUM(D5:D124)</f>
        <v/>
      </c>
      <c r="E125" s="60">
        <f>SUM(E5:E124)</f>
        <v/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7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70">
      <c r="A127" s="64" t="inlineStr">
        <is>
          <t>RECONCILIATION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70">
      <c r="A128" s="65" t="inlineStr">
        <is>
          <t>All Pull Sheet qty</t>
        </is>
      </c>
      <c r="B128" s="4" t="n"/>
      <c r="C128" s="66">
        <f>SUM('Pull Sheet'!C:C,'Pull Sheet'!I:I,'Pull Sheet'!O:O,'Pull Sheet'!U:U,'Pull Sheet'!AA:AA,'Pull Sheet'!AG:AG)</f>
        <v/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70">
      <c r="A129" s="65" t="inlineStr">
        <is>
          <t>Captured above</t>
        </is>
      </c>
      <c r="B129" s="4" t="n"/>
      <c r="C129" s="66">
        <f>SUM($C$5:$C$124)</f>
        <v/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70">
      <c r="A130" s="67" t="inlineStr">
        <is>
          <t>Missed (should be 0)</t>
        </is>
      </c>
      <c r="B130" s="4" t="n"/>
      <c r="C130" s="66">
        <f>SUM('Pull Sheet'!C:C,'Pull Sheet'!I:I,'Pull Sheet'!O:O,'Pull Sheet'!U:U,'Pull Sheet'!AA:AA,'Pull Sheet'!AG:AG)-SUM($C$5:$C$124)</f>
        <v/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70">
      <c r="A131" s="68" t="inlineStr">
        <is>
          <t>If not 0, a position sits past the scanned columns/rows, or you have &gt;120 unique cables. Tell me and I'll extend it.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7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7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7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7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7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7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7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7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7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7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7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7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7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7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7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7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7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7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7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7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7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7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7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7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7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7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7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7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7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7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7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7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7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7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7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7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7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7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7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7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7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7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7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7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7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7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7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7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7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7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7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7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7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7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7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7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7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7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7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7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7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7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7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7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7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7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7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7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7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7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7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7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7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7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7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7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7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7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7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7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7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7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7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7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7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7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7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7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7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7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7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7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7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7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7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7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7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7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7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7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7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7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7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7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7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7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7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7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7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7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7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7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7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7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7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7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7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7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7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7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7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7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7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7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7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7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7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7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7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7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7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7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7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7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7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7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7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7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7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7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7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7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7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7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7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7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7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7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7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7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7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7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7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7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7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7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7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7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7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7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7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7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7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7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7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7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7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7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7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7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7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7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7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7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7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7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7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7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7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7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7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7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7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7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7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7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7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7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7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7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7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7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7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7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7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7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7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7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7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7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7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7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7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7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7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7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7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7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7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7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7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7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7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7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7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7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7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7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7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7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7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7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7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7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7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7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7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7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7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7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7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7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7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7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7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7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7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7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7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7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7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7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7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7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7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7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7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7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7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7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7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7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7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7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7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7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7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7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7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7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7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7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7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7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7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7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7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7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7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7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7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7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7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7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7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7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7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7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7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7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7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7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7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7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7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7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7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7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7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7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7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7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7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7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7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7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7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7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7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7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7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7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7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7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7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7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7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7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7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7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7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7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7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7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7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7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7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7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7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7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7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7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7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7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7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7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7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7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7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7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7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7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7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7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7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7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7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7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7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7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7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7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7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7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7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7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7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7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7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7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7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7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7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7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7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7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7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7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7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7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7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7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7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7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7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7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7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7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7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7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7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7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7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7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7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7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7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7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7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7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7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7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7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7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7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7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7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7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7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7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7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7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7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7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7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7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7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7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7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7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7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7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7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7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7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7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7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7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7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7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7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7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7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7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7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7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7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7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7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7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7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7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7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7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7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7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7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7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7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7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7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7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7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7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7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7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7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7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7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7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7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7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7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7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7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7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7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7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7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7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7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7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7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7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7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7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7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7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7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7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7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7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7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7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7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7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7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7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7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7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7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7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7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7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7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7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7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7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7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7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7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7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7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7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7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7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7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7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7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7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7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7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7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7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7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7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7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7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7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7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7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7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7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7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7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7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7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7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7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7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7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7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7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7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7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7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7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7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7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7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7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7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7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7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7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7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7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7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7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7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7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7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7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7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7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7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7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7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7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7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7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7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7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7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7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7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7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7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7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7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7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7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7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7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7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7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7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7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7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7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7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7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7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7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7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7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7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7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7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7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7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7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7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7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7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7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7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7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7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7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7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7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7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7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7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7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7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7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7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7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7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7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7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7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7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7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7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7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7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7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7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7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7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7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7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7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7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7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7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7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7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7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7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7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7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7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7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7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7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7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7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7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7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7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7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7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7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7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7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7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7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7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7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7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7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7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7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7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7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7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7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7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7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7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7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7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7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7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7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7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7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7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7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7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7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7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7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7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7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7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7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7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7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7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7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7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7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7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7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7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7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7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7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7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7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7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7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7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7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7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7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7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7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7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7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7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7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7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7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7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7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7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7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7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7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7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7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7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7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7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7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7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7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7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7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7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7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7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7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7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7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7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7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7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7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7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7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7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7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7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7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7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7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7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7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7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7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7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7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7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7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7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7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7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7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7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7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7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7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7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7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7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7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7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7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7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7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7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7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7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7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7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7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7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7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7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7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7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7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7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7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7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7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7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7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7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7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7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7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7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7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7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7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7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7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7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7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7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7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7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7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7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7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7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7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7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7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7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7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7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7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7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7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7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7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7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7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7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7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7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7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7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7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7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7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7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7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7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7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7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7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7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7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7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7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7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7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7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7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7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7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7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7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7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7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7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7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7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7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7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7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7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7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7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7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7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7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7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7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7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7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7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7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7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7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7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7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7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7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7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7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7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7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7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7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7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7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7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7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7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">
    <mergeCell ref="A1:E1"/>
  </mergeCells>
  <conditionalFormatting sqref="C130">
    <cfRule type="cellIs" priority="1" operator="notEqual" dxfId="0">
      <formula>0</formula>
    </cfRule>
  </conditionalFormatting>
  <pageMargins left="0.75" right="0.75" top="1" bottom="1" header="0" footer="0"/>
  <pageSetup orientation="portrait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1.86" customWidth="1" style="70" min="1" max="1"/>
    <col width="12" customWidth="1" style="70" min="2" max="2"/>
    <col width="8.710000000000001" customWidth="1" style="70" min="3" max="6"/>
  </cols>
  <sheetData>
    <row r="1" ht="25.5" customHeight="1" s="70">
      <c r="A1" s="1" t="inlineStr">
        <is>
          <t>GEAR LIST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57.75" customHeight="1" s="70">
      <c r="A2" s="5" t="inlineStr">
        <is>
          <t>Add gear here. Type a new cable in column A or a length in column B and it shows up in the Pull Sheet dropdowns automatically.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70">
      <c r="A3" s="7" t="inlineStr">
        <is>
          <t>Cable Types</t>
        </is>
      </c>
      <c r="B3" s="7" t="inlineStr">
        <is>
          <t>Lengths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70">
      <c r="A4" s="15" t="inlineStr">
        <is>
          <t>Tru-1 Breakout</t>
        </is>
      </c>
      <c r="B4" s="31" t="inlineStr">
        <is>
          <t>EA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70">
      <c r="A5" s="25" t="inlineStr">
        <is>
          <t>Ether-con Snake</t>
        </is>
      </c>
      <c r="B5" s="19" t="inlineStr">
        <is>
          <t>3'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70">
      <c r="A6" s="15" t="inlineStr">
        <is>
          <t>Ether-con</t>
        </is>
      </c>
      <c r="B6" s="20" t="inlineStr">
        <is>
          <t>4'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70">
      <c r="A7" s="25" t="inlineStr">
        <is>
          <t>Ether-con Barrel</t>
        </is>
      </c>
      <c r="B7" s="31" t="inlineStr">
        <is>
          <t>5'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70">
      <c r="A8" s="15" t="inlineStr">
        <is>
          <t>Tru-1</t>
        </is>
      </c>
      <c r="B8" s="20" t="inlineStr">
        <is>
          <t>6'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70">
      <c r="A9" s="25" t="inlineStr">
        <is>
          <t>Multi</t>
        </is>
      </c>
      <c r="B9" s="31" t="inlineStr">
        <is>
          <t>10'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70">
      <c r="A10" s="15" t="inlineStr">
        <is>
          <t>12G SDI</t>
        </is>
      </c>
      <c r="B10" s="20" t="inlineStr">
        <is>
          <t>15'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70">
      <c r="A11" s="25" t="inlineStr">
        <is>
          <t>HDMI</t>
        </is>
      </c>
      <c r="B11" s="31" t="inlineStr">
        <is>
          <t>25'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70">
      <c r="A12" s="15" t="inlineStr">
        <is>
          <t>Ethernet</t>
        </is>
      </c>
      <c r="B12" s="20" t="inlineStr">
        <is>
          <t>50'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70">
      <c r="A13" s="25" t="inlineStr">
        <is>
          <t>P14</t>
        </is>
      </c>
      <c r="B13" s="31" t="inlineStr">
        <is>
          <t>75'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70">
      <c r="A14" s="15" t="inlineStr">
        <is>
          <t>Absen TRU-1 Long Power Jump</t>
        </is>
      </c>
      <c r="B14" s="20" t="inlineStr">
        <is>
          <t>100'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70">
      <c r="A15" s="25" t="inlineStr">
        <is>
          <t>Absen Long Data Jump</t>
        </is>
      </c>
      <c r="B15" s="31" t="inlineStr">
        <is>
          <t>150'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 s="70">
      <c r="A16" s="54" t="inlineStr">
        <is>
          <t>Tru-1 3fer</t>
        </is>
      </c>
      <c r="B16" s="20" t="inlineStr">
        <is>
          <t>200'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70">
      <c r="A17" s="52" t="inlineStr">
        <is>
          <t>Tru-1 2fer</t>
        </is>
      </c>
      <c r="B17" s="31" t="inlineStr">
        <is>
          <t>250'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70">
      <c r="A18" s="54" t="inlineStr">
        <is>
          <t>Gac</t>
        </is>
      </c>
      <c r="B18" s="20" t="inlineStr">
        <is>
          <t>300'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 s="70">
      <c r="A19" s="52" t="inlineStr">
        <is>
          <t>Shackle</t>
        </is>
      </c>
      <c r="B19" s="42" t="inlineStr">
        <is>
          <t>1000'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70">
      <c r="A20" s="54" t="inlineStr">
        <is>
          <t>Header Triple</t>
        </is>
      </c>
      <c r="B20" s="46" t="inlineStr">
        <is>
          <t>500'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70">
      <c r="A21" s="52" t="inlineStr">
        <is>
          <t>Header Double</t>
        </is>
      </c>
      <c r="B21" s="42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70">
      <c r="A22" s="52" t="inlineStr">
        <is>
          <t>Header Single</t>
        </is>
      </c>
      <c r="B22" s="46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70">
      <c r="A23" s="54" t="inlineStr">
        <is>
          <t>3G SDI</t>
        </is>
      </c>
      <c r="B23" s="42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70">
      <c r="A24" s="52" t="inlineStr">
        <is>
          <t>H5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70">
      <c r="A25" s="54" t="inlineStr">
        <is>
          <t>16 port sending card + 2 OPT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70">
      <c r="A26" s="52" t="inlineStr">
        <is>
          <t>CVT Rack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70">
      <c r="A27" s="52" t="inlineStr">
        <is>
          <t>12 Tac Fiber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70">
      <c r="A28" s="54" t="inlineStr">
        <is>
          <t>10G Single-Mode SFP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70">
      <c r="A29" s="52" t="inlineStr">
        <is>
          <t>UHD JR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70">
      <c r="A30" s="52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70">
      <c r="A31" s="5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70">
      <c r="A32" s="52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70">
      <c r="A33" s="52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70">
      <c r="A34" s="5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70">
      <c r="A35" s="52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7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7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7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7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7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7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7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7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7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7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7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7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7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7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7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7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7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7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7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7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7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7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7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7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7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7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7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7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7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7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7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7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7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7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7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7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7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7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7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7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7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7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7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7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7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7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7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7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7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7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7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7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7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7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7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7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7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7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7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7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7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7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7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7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7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7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7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7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7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7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7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7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7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7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7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7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7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7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7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7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7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7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7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7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7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7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7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7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7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7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7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7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7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7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7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7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7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7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7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7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7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7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7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7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7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7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7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7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7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7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7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7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7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7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7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7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7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7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7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7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7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7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7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7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7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7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7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7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7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7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7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7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7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7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7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7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7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7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7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7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7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7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7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7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7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7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7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7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7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7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7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7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7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7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7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7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7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7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7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7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7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7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7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7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7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7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7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7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7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7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7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7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7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7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7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7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7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7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7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7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7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7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7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7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7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7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7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7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7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7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7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7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7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7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7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7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7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7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7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7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7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7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7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7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7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7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7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7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7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7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7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7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7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7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7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7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7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7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7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7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7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7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7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7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7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7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7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7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7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7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7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7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7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7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7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7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7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7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7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7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7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7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7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7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7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7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7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7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7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7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7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7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7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7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7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7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7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7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7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7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7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7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7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7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7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7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7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7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7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7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7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7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7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7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7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7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7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7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7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7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7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7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7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7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7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7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7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7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7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7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7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7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7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7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7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7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7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7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7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7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7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7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7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7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7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7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7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7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7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7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7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7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7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7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7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7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7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7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7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7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7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7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7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7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7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7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7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7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7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7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7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7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7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7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7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7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7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7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7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7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7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7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7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7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7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7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7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7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7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7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7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7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7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7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7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7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7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7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7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7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7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7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7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7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7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7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7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7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7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7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7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7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7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7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7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7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7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7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7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7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7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7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7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7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7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7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7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7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7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7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7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7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7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7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7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7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7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7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7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7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7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7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7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7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7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7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7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7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7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7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7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7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7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7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7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7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7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7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7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7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7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7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7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7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7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7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7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7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7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7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7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7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7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7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7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7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7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7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7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7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7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7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7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7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7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7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7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7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7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7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7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7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7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7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7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7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7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7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7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7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7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7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7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7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7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7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7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7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7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7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7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7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7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7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7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7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7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7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7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7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7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7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7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7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7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7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7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7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7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7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7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7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7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7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7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7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7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7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7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7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7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7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7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7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7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7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7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7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7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7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7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7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7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7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7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7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7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7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7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7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7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7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7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7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7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7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7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7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7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7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7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7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7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7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7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7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7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7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7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7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7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7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7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7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7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7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7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7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7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7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7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7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7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7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7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7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7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7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7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7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7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7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7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7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7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7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7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7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7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7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7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7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7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7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7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7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7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7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7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7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7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7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7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7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7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7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7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7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7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7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7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7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7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7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7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7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7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7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7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7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7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7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7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7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7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7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7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7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7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7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7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7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7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7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7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7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7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7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7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7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7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7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7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7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7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7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7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7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7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7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7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7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7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7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7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7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7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7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7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7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7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7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7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7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7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7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7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7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7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7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7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7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7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7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7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7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7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7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7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7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7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7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7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7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7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7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7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7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7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7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7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7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7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7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7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7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7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7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7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7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7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7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7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7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7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7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7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7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7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7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7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7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7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7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7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7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7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7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7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7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7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7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7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7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7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7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7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7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7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7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7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7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7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7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7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7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7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7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7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7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7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7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7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7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7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7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7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7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7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7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7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7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7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7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7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7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7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7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7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7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7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7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7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7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7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7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7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7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7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7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7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7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7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7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7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7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7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7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7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7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7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7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7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7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7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7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7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7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7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7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7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7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7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7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7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7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7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7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7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7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7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7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7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7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7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7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7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7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7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7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7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7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7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7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7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7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7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7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7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7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7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7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7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7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7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7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7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7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7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7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7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7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7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7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7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7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7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7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7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7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7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7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7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7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7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7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7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7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7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7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7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7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7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7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7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7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7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7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7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7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7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7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7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7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7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7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7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7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7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7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7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7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7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7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7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7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7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7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7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7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7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7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7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7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7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7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7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7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7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7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7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7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7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7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7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7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7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7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7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7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7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7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7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7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7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7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7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7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7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7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7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7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7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7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7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7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7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7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7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7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7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7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7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7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7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7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7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7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7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7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7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7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7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7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7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7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7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7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7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7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7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7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7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7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7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7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7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7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7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7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7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7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7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7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7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7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7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7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7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7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7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7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7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7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7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7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7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7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7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7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7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7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7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7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7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2:B2"/>
    <mergeCell ref="A1:B1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70" min="1" max="1"/>
    <col width="118" customWidth="1" style="70" min="2" max="2"/>
    <col width="8.710000000000001" customWidth="1" style="70" min="3" max="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9.5" customHeight="1" s="70">
      <c r="A2" s="4" t="n"/>
      <c r="B2" s="61" t="inlineStr">
        <is>
          <t>LED CABLE PULL SHEET  -  how it works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70">
      <c r="A4" s="4" t="n"/>
      <c r="B4" s="62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70">
      <c r="A5" s="4" t="n"/>
      <c r="B5" s="63" t="inlineStr">
        <is>
          <t>LAYOUT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70">
      <c r="A6" s="4" t="n"/>
      <c r="B6" s="62" t="inlineStr">
        <is>
          <t>Positions sit SIDE BY SIDE across the sheet (first three, then the tan copy-me block).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70">
      <c r="A7" s="4" t="n"/>
      <c r="B7" s="62" t="inlineStr">
        <is>
          <t>Scroll right for more room instead of down. All positions share the same rows.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70">
      <c r="A8" s="4" t="n"/>
      <c r="B8" s="62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70">
      <c r="A9" s="4" t="n"/>
      <c r="B9" s="63" t="inlineStr">
        <is>
          <t>DYNAMIC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70">
      <c r="A10" s="4" t="n"/>
      <c r="B10" s="62" t="inlineStr">
        <is>
          <t>TOTALS and Spares build themselves from every position. Type any cable + length + qty and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70">
      <c r="A11" s="4" t="n"/>
      <c r="B11" s="62" t="inlineStr">
        <is>
          <t>it appears; delete it and it drops off. The same cable across positions merges to one line.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70">
      <c r="A12" s="4" t="n"/>
      <c r="B12" s="62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70">
      <c r="A13" s="4" t="n"/>
      <c r="B13" s="63" t="inlineStr">
        <is>
          <t>ADD / CHANGE GEAR IN THE DROPDOWNS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70">
      <c r="A14" s="4" t="n"/>
      <c r="B14" s="62" t="inlineStr">
        <is>
          <t>GEAR LIST tab: type a new cable under 'Cable Types' or a length under 'Lengths'. It shows up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70">
      <c r="A15" s="4" t="n"/>
      <c r="B15" s="62" t="inlineStr">
        <is>
          <t>in the Pull Sheet dropdowns right away. Dropdowns only warn, never block.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 s="70">
      <c r="A16" s="4" t="n"/>
      <c r="B16" s="62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70">
      <c r="A17" s="4" t="n"/>
      <c r="B17" s="63" t="inlineStr">
        <is>
          <t>ADD MORE ROWS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70">
      <c r="A18" s="4" t="n"/>
      <c r="B18" s="62" t="inlineStr">
        <is>
          <t>Each position has 30 rows. Need more? Select some data-row numbers, right-click &gt; Insert 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 s="70">
      <c r="A19" s="4" t="n"/>
      <c r="B19" s="62" t="inlineStr">
        <is>
          <t>rows. Because positions share rows, this adds rows to ALL of them at once (blanks are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70">
      <c r="A20" s="4" t="n"/>
      <c r="B20" s="62" t="inlineStr">
        <is>
          <t>ignored in the totals). Or use the one-click button - see APPS SCRIPT.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70">
      <c r="A21" s="4" t="n"/>
      <c r="B21" s="62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70">
      <c r="A22" s="4" t="n"/>
      <c r="B22" s="63" t="inlineStr">
        <is>
          <t>ADD A POSITION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70">
      <c r="A23" s="4" t="n"/>
      <c r="B23" s="62" t="inlineStr">
        <is>
          <t>Copy the whole tan 'NEW POSITION' block and paste it in the empty columns to its right,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70">
      <c r="A24" s="4" t="n"/>
      <c r="B24" s="62" t="inlineStr">
        <is>
          <t>then rename the title. Or use the Apps Script button.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70">
      <c r="A25" s="4" t="n"/>
      <c r="B25" s="62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70">
      <c r="A26" s="4" t="n"/>
      <c r="B26" s="63" t="inlineStr">
        <is>
          <t>SPARES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70">
      <c r="A27" s="4" t="n"/>
      <c r="B27" s="62" t="inlineStr">
        <is>
          <t>Set SPARE % at the top of the Spares tab. Spares = qty x that %, rounded UP.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70">
      <c r="A28" s="4" t="n"/>
      <c r="B28" s="62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70">
      <c r="A29" s="4" t="n"/>
      <c r="B29" s="63" t="inlineStr">
        <is>
          <t>ONE-CLICK BUTTONS  (optional, Google Sheets)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70">
      <c r="A30" s="4" t="n"/>
      <c r="B30" s="62" t="inlineStr">
        <is>
          <t>Extensions &gt; Apps Script, paste PullSheetTools.gs, Save, reload. A 'Pull Sheet' menu appears.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70">
      <c r="A31" s="4" t="n"/>
      <c r="B31" s="62" t="inlineStr">
        <is>
          <t>The menu has: Sort gear list | Add rows to all positions | Add a position.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70">
      <c r="A32" s="4" t="n"/>
      <c r="B32" s="62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70">
      <c r="A33" s="4" t="n"/>
      <c r="B33" s="63" t="inlineStr">
        <is>
          <t>SORT GEAR LIST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70">
      <c r="A34" s="4" t="n"/>
      <c r="B34" s="62" t="inlineStr">
        <is>
          <t>Pull Sheet menu &gt; Sort gear list. Cable types go A-Z, but numbers inside a name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70">
      <c r="A35" s="4" t="n"/>
      <c r="B35" s="62" t="inlineStr">
        <is>
          <t>read as numbers (3G SDI before 12G SDI, Tru-1 2fer before Tru-1 3fer). Lengths sort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70">
      <c r="A36" s="4" t="n"/>
      <c r="B36" s="62" t="inlineStr">
        <is>
          <t>by actual size (3', 10', 100') with EA last. Sorting never affects what you've typed.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7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70">
      <c r="A38" s="4" t="n"/>
      <c r="B38" s="63" t="inlineStr">
        <is>
          <t>SORT THE PULL SHEET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70">
      <c r="A39" s="4" t="n"/>
      <c r="B39" s="62" t="inlineStr">
        <is>
          <t>Pull Sheet menu &gt; Sort this position (the one your cursor is in) or Sort all positions.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70">
      <c r="A40" s="4" t="n"/>
      <c r="B40" s="62" t="inlineStr">
        <is>
          <t>Cables sort A-Z with lengths in size order, matching the TOTALS tab. Label and Notes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70">
      <c r="A41" s="4" t="n"/>
      <c r="B41" s="62" t="inlineStr">
        <is>
          <t>travel with their cable. It sorts on demand, not while you type, so rows never move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70">
      <c r="A42" s="4" t="n"/>
      <c r="B42" s="62" t="inlineStr">
        <is>
          <t>out from under you mid-entry.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70">
      <c r="A43" s="4" t="n"/>
      <c r="B43" s="62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70">
      <c r="A44" s="4" t="n"/>
      <c r="B44" s="62" t="inlineStr">
        <is>
          <t>TOTALS and Spares sort themselves automatically - no button needed there.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7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7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7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7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7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7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7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7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7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7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7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7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7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7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7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7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7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7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7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7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7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7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7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7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7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7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7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7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7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7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7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7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7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7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7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7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7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7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7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7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7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7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7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7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7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7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7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7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7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7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7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7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7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7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7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7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7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7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7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7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7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7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7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7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7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7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7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7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7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7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7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7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7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7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7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7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7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7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7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7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7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7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7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7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7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7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7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7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7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7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7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7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7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7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7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7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7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7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7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7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7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7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7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7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7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7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7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7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7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7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7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7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7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7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7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7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7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7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7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7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7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7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7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7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7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7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7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7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7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7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7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7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7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7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7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7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7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7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7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7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7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7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7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7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7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7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7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7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7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7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7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7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7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7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7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7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7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7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7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7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7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7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7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7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7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7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7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7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7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7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7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7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7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7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7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7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7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7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7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7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7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7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7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7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7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7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7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7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7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7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7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7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7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7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7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7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7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7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7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7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7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7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7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7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7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7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7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7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7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7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7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7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7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7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7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7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7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7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7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7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7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7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7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7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7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7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7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7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7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7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7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7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7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7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7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7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7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7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7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7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7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7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7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7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7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7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7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7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7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7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7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7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7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7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7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7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7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7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7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7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7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7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7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7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7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7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7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7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7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7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7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7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7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7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7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7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7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7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7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7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7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7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7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7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7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7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7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7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7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7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7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7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7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7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7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7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7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7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7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7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7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7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7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7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7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7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7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7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7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7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7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7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7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7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7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7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7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7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7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7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7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7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7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7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7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7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7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7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7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7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7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7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7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7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7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7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7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7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7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7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7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7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7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7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7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7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7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7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7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7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7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7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7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7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7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7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7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7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7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7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7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7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7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7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7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7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7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7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7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7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7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7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7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7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7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7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7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7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7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7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7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7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7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7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7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7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7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7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7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7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7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7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7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7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7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7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7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7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7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7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7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7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7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7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7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7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7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7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7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7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7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7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7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7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7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7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7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7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7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7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7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7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7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7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7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7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7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7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7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7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7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7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7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7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7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7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7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7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7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7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7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7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7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7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7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7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7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7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7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7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7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7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7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7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7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7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7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7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7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7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7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7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7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7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7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7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7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7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7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7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7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7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7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7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7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7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7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7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7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7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7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7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7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7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7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7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7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7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7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7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7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7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7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7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7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7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7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7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7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7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7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7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7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7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7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7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7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7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7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7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7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7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7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7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7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7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7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7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7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7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7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7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7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7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7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7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7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7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7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7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7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7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7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7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7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7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7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7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7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7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7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7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7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7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7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7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7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7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7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7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7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7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7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7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7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7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7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7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7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7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7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7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7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7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7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7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7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7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7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7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7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7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7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7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7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7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7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7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7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7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7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7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7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7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7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7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7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7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7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7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7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7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7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7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7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7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7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7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7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7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7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7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7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7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7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7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7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7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7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7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7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7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7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7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7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7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7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7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7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7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7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7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7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7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7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7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7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7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7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7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7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7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7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7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7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7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7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7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7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7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7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7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7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7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7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7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7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7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7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7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7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7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7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7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7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7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7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7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7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7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7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7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7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7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7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7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7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7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7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7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7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7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7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7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7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7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7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7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7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7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7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7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7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7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7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7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7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7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7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7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7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7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7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7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7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7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7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7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7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7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7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7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7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7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7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7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7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7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7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7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7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7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7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7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7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7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7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7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7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7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7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7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7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7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7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7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7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7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7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7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7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7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7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7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7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7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7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7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7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7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7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7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7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7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7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7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7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7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7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7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7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7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7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7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7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7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7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7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7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7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7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7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7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7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7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7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7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7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7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7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7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7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7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7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7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7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7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7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7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7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7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7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7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7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7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7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7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7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7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7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7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7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7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7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7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7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7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7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7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7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7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7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7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7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7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7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7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7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7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7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7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7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7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7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7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7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7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7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7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7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7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7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7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7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7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7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7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7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7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7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7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7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7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7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7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7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7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7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7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7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7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7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7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7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7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7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7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7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7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7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7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7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7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7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7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7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7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7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7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7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7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7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7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7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7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7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7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7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7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7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7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7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7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7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7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7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7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7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7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7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7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7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7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7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7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7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7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7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7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7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7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7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7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7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7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7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7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7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7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7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7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7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7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7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7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7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7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7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7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7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7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7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7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7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7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7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7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7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7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7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7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7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7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7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7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7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7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7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7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7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7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7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7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7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7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7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7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7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7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7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7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7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7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7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7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7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0" min="1" max="6"/>
  </cols>
  <sheetData>
    <row r="1" ht="15" customHeight="1" s="70">
      <c r="A1" s="69" t="inlineStr">
        <is>
          <t>key (type|length)</t>
        </is>
      </c>
      <c r="B1" s="69" t="inlineStr">
        <is>
          <t>rank</t>
        </is>
      </c>
      <c r="C1" s="69" t="inlineStr">
        <is>
          <t>qty</t>
        </is>
      </c>
      <c r="D1" s="69" t="inlineStr">
        <is>
          <t>sortkey</t>
        </is>
      </c>
      <c r="E1" s="69" t="inlineStr">
        <is>
          <t>sortrank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70">
      <c r="A5" s="4">
        <f t="array" ref="A5">IF(N(INDIRECT("'Pull Sheet'!C7"))&gt;0,INDIRECT("'Pull Sheet'!A7")&amp;"|"&amp;INDIRECT("'Pull Sheet'!B7"),"")</f>
        <v/>
      </c>
      <c r="B5" s="4">
        <f>IF(AND($A5&lt;&gt;"",COUNTIF($A$5:$A5,$A5)=1),MAX($B$4:$B4)+1,"")</f>
        <v/>
      </c>
      <c r="C5" s="4">
        <f t="array" ref="C5">IF($A5="","",N(INDIRECT("'Pull Sheet'!C7")))</f>
        <v/>
      </c>
      <c r="D5" s="4">
        <f>IF($B5="","",IF(IFERROR(VALUE(LEFT(LOWER(LEFT($A5,FIND("|",$A5)-1)),3)),IFERROR(VALUE(LEFT(LOWER(LEFT($A5,FIND("|",$A5)-1)),2)),IFERROR(VALUE(LEFT(LOWER(LEFT($A5,FIND("|",$A5)-1)),1)),-1)))&gt;=0,TEXT(IFERROR(VALUE(LEFT(LOWER(LEFT($A5,FIND("|",$A5)-1)),3)),IFERROR(VALUE(LEFT(LOWER(LEFT($A5,FIND("|",$A5)-1)),2)),IFERROR(VALUE(LEFT(LOWER(LEFT($A5,FIND("|",$A5)-1)),1)),-1))),"000000")&amp;MID(LOWER(LEFT($A5,FIND("|",$A5)-1)),LEN(TEXT(IFERROR(VALUE(LEFT(LOWER(LEFT($A5,FIND("|",$A5)-1)),3)),IFERROR(VALUE(LEFT(LOWER(LEFT($A5,FIND("|",$A5)-1)),2)),IFERROR(VALUE(LEFT(LOWER(LEFT($A5,FIND("|",$A5)-1)),1)),-1))),"0"))+1,99),LOWER(LEFT($A5,FIND("|",$A5)-1)))&amp;CHAR(9)&amp;TEXT(IF(SUBSTITUTE(MID($A5,FIND("|",$A5)+1,50),"'","")="",0,IFERROR(VALUE(SUBSTITUTE(MID($A5,FIND("|",$A5)+1,50),"'","")),999999)),"000000")&amp;CHAR(9)&amp;TEXT($B5,"0000"))</f>
        <v/>
      </c>
      <c r="E5" s="4">
        <f>IF($D5="","",SUMPRODUCT(($D$5:$D$364&lt;&gt;"")*($D$5:$D$364&lt;$D5))+1)</f>
        <v/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70">
      <c r="A6" s="4">
        <f t="array" ref="A6">IF(N(INDIRECT("'Pull Sheet'!C8"))&gt;0,INDIRECT("'Pull Sheet'!A8")&amp;"|"&amp;INDIRECT("'Pull Sheet'!B8"),"")</f>
        <v/>
      </c>
      <c r="B6" s="4">
        <f>IF(AND($A6&lt;&gt;"",COUNTIF($A$5:$A6,$A6)=1),MAX($B$4:$B5)+1,"")</f>
        <v/>
      </c>
      <c r="C6" s="4">
        <f t="array" ref="C6">IF($A6="","",N(INDIRECT("'Pull Sheet'!C8")))</f>
        <v/>
      </c>
      <c r="D6" s="4">
        <f>IF($B6="","",IF(IFERROR(VALUE(LEFT(LOWER(LEFT($A6,FIND("|",$A6)-1)),3)),IFERROR(VALUE(LEFT(LOWER(LEFT($A6,FIND("|",$A6)-1)),2)),IFERROR(VALUE(LEFT(LOWER(LEFT($A6,FIND("|",$A6)-1)),1)),-1)))&gt;=0,TEXT(IFERROR(VALUE(LEFT(LOWER(LEFT($A6,FIND("|",$A6)-1)),3)),IFERROR(VALUE(LEFT(LOWER(LEFT($A6,FIND("|",$A6)-1)),2)),IFERROR(VALUE(LEFT(LOWER(LEFT($A6,FIND("|",$A6)-1)),1)),-1))),"000000")&amp;MID(LOWER(LEFT($A6,FIND("|",$A6)-1)),LEN(TEXT(IFERROR(VALUE(LEFT(LOWER(LEFT($A6,FIND("|",$A6)-1)),3)),IFERROR(VALUE(LEFT(LOWER(LEFT($A6,FIND("|",$A6)-1)),2)),IFERROR(VALUE(LEFT(LOWER(LEFT($A6,FIND("|",$A6)-1)),1)),-1))),"0"))+1,99),LOWER(LEFT($A6,FIND("|",$A6)-1)))&amp;CHAR(9)&amp;TEXT(IF(SUBSTITUTE(MID($A6,FIND("|",$A6)+1,50),"'","")="",0,IFERROR(VALUE(SUBSTITUTE(MID($A6,FIND("|",$A6)+1,50),"'","")),999999)),"000000")&amp;CHAR(9)&amp;TEXT($B6,"0000"))</f>
        <v/>
      </c>
      <c r="E6" s="4">
        <f>IF($D6="","",SUMPRODUCT(($D$5:$D$364&lt;&gt;"")*($D$5:$D$364&lt;$D6))+1)</f>
        <v/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70">
      <c r="A7" s="4">
        <f t="array" ref="A7">IF(N(INDIRECT("'Pull Sheet'!C9"))&gt;0,INDIRECT("'Pull Sheet'!A9")&amp;"|"&amp;INDIRECT("'Pull Sheet'!B9"),"")</f>
        <v/>
      </c>
      <c r="B7" s="4">
        <f>IF(AND($A7&lt;&gt;"",COUNTIF($A$5:$A7,$A7)=1),MAX($B$4:$B6)+1,"")</f>
        <v/>
      </c>
      <c r="C7" s="4">
        <f t="array" ref="C7">IF($A7="","",N(INDIRECT("'Pull Sheet'!C9")))</f>
        <v/>
      </c>
      <c r="D7" s="4">
        <f>IF($B7="","",IF(IFERROR(VALUE(LEFT(LOWER(LEFT($A7,FIND("|",$A7)-1)),3)),IFERROR(VALUE(LEFT(LOWER(LEFT($A7,FIND("|",$A7)-1)),2)),IFERROR(VALUE(LEFT(LOWER(LEFT($A7,FIND("|",$A7)-1)),1)),-1)))&gt;=0,TEXT(IFERROR(VALUE(LEFT(LOWER(LEFT($A7,FIND("|",$A7)-1)),3)),IFERROR(VALUE(LEFT(LOWER(LEFT($A7,FIND("|",$A7)-1)),2)),IFERROR(VALUE(LEFT(LOWER(LEFT($A7,FIND("|",$A7)-1)),1)),-1))),"000000")&amp;MID(LOWER(LEFT($A7,FIND("|",$A7)-1)),LEN(TEXT(IFERROR(VALUE(LEFT(LOWER(LEFT($A7,FIND("|",$A7)-1)),3)),IFERROR(VALUE(LEFT(LOWER(LEFT($A7,FIND("|",$A7)-1)),2)),IFERROR(VALUE(LEFT(LOWER(LEFT($A7,FIND("|",$A7)-1)),1)),-1))),"0"))+1,99),LOWER(LEFT($A7,FIND("|",$A7)-1)))&amp;CHAR(9)&amp;TEXT(IF(SUBSTITUTE(MID($A7,FIND("|",$A7)+1,50),"'","")="",0,IFERROR(VALUE(SUBSTITUTE(MID($A7,FIND("|",$A7)+1,50),"'","")),999999)),"000000")&amp;CHAR(9)&amp;TEXT($B7,"0000"))</f>
        <v/>
      </c>
      <c r="E7" s="4">
        <f>IF($D7="","",SUMPRODUCT(($D$5:$D$364&lt;&gt;"")*($D$5:$D$364&lt;$D7))+1)</f>
        <v/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70">
      <c r="A8" s="4">
        <f t="array" ref="A8">IF(N(INDIRECT("'Pull Sheet'!C10"))&gt;0,INDIRECT("'Pull Sheet'!A10")&amp;"|"&amp;INDIRECT("'Pull Sheet'!B10"),"")</f>
        <v/>
      </c>
      <c r="B8" s="4">
        <f>IF(AND($A8&lt;&gt;"",COUNTIF($A$5:$A8,$A8)=1),MAX($B$4:$B7)+1,"")</f>
        <v/>
      </c>
      <c r="C8" s="4">
        <f t="array" ref="C8">IF($A8="","",N(INDIRECT("'Pull Sheet'!C10")))</f>
        <v/>
      </c>
      <c r="D8" s="4">
        <f>IF($B8="","",IF(IFERROR(VALUE(LEFT(LOWER(LEFT($A8,FIND("|",$A8)-1)),3)),IFERROR(VALUE(LEFT(LOWER(LEFT($A8,FIND("|",$A8)-1)),2)),IFERROR(VALUE(LEFT(LOWER(LEFT($A8,FIND("|",$A8)-1)),1)),-1)))&gt;=0,TEXT(IFERROR(VALUE(LEFT(LOWER(LEFT($A8,FIND("|",$A8)-1)),3)),IFERROR(VALUE(LEFT(LOWER(LEFT($A8,FIND("|",$A8)-1)),2)),IFERROR(VALUE(LEFT(LOWER(LEFT($A8,FIND("|",$A8)-1)),1)),-1))),"000000")&amp;MID(LOWER(LEFT($A8,FIND("|",$A8)-1)),LEN(TEXT(IFERROR(VALUE(LEFT(LOWER(LEFT($A8,FIND("|",$A8)-1)),3)),IFERROR(VALUE(LEFT(LOWER(LEFT($A8,FIND("|",$A8)-1)),2)),IFERROR(VALUE(LEFT(LOWER(LEFT($A8,FIND("|",$A8)-1)),1)),-1))),"0"))+1,99),LOWER(LEFT($A8,FIND("|",$A8)-1)))&amp;CHAR(9)&amp;TEXT(IF(SUBSTITUTE(MID($A8,FIND("|",$A8)+1,50),"'","")="",0,IFERROR(VALUE(SUBSTITUTE(MID($A8,FIND("|",$A8)+1,50),"'","")),999999)),"000000")&amp;CHAR(9)&amp;TEXT($B8,"0000"))</f>
        <v/>
      </c>
      <c r="E8" s="4">
        <f>IF($D8="","",SUMPRODUCT(($D$5:$D$364&lt;&gt;"")*($D$5:$D$364&lt;$D8))+1)</f>
        <v/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70">
      <c r="A9" s="4">
        <f t="array" ref="A9">IF(N(INDIRECT("'Pull Sheet'!C11"))&gt;0,INDIRECT("'Pull Sheet'!A11")&amp;"|"&amp;INDIRECT("'Pull Sheet'!B11"),"")</f>
        <v/>
      </c>
      <c r="B9" s="4">
        <f>IF(AND($A9&lt;&gt;"",COUNTIF($A$5:$A9,$A9)=1),MAX($B$4:$B8)+1,"")</f>
        <v/>
      </c>
      <c r="C9" s="4">
        <f t="array" ref="C9">IF($A9="","",N(INDIRECT("'Pull Sheet'!C11")))</f>
        <v/>
      </c>
      <c r="D9" s="4">
        <f>IF($B9="","",IF(IFERROR(VALUE(LEFT(LOWER(LEFT($A9,FIND("|",$A9)-1)),3)),IFERROR(VALUE(LEFT(LOWER(LEFT($A9,FIND("|",$A9)-1)),2)),IFERROR(VALUE(LEFT(LOWER(LEFT($A9,FIND("|",$A9)-1)),1)),-1)))&gt;=0,TEXT(IFERROR(VALUE(LEFT(LOWER(LEFT($A9,FIND("|",$A9)-1)),3)),IFERROR(VALUE(LEFT(LOWER(LEFT($A9,FIND("|",$A9)-1)),2)),IFERROR(VALUE(LEFT(LOWER(LEFT($A9,FIND("|",$A9)-1)),1)),-1))),"000000")&amp;MID(LOWER(LEFT($A9,FIND("|",$A9)-1)),LEN(TEXT(IFERROR(VALUE(LEFT(LOWER(LEFT($A9,FIND("|",$A9)-1)),3)),IFERROR(VALUE(LEFT(LOWER(LEFT($A9,FIND("|",$A9)-1)),2)),IFERROR(VALUE(LEFT(LOWER(LEFT($A9,FIND("|",$A9)-1)),1)),-1))),"0"))+1,99),LOWER(LEFT($A9,FIND("|",$A9)-1)))&amp;CHAR(9)&amp;TEXT(IF(SUBSTITUTE(MID($A9,FIND("|",$A9)+1,50),"'","")="",0,IFERROR(VALUE(SUBSTITUTE(MID($A9,FIND("|",$A9)+1,50),"'","")),999999)),"000000")&amp;CHAR(9)&amp;TEXT($B9,"0000"))</f>
        <v/>
      </c>
      <c r="E9" s="4">
        <f>IF($D9="","",SUMPRODUCT(($D$5:$D$364&lt;&gt;"")*($D$5:$D$364&lt;$D9))+1)</f>
        <v/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70">
      <c r="A10" s="4">
        <f t="array" ref="A10">IF(N(INDIRECT("'Pull Sheet'!C12"))&gt;0,INDIRECT("'Pull Sheet'!A12")&amp;"|"&amp;INDIRECT("'Pull Sheet'!B12"),"")</f>
        <v/>
      </c>
      <c r="B10" s="4">
        <f>IF(AND($A10&lt;&gt;"",COUNTIF($A$5:$A10,$A10)=1),MAX($B$4:$B9)+1,"")</f>
        <v/>
      </c>
      <c r="C10" s="4">
        <f t="array" ref="C10">IF($A10="","",N(INDIRECT("'Pull Sheet'!C12")))</f>
        <v/>
      </c>
      <c r="D10" s="4">
        <f>IF($B10="","",IF(IFERROR(VALUE(LEFT(LOWER(LEFT($A10,FIND("|",$A10)-1)),3)),IFERROR(VALUE(LEFT(LOWER(LEFT($A10,FIND("|",$A10)-1)),2)),IFERROR(VALUE(LEFT(LOWER(LEFT($A10,FIND("|",$A10)-1)),1)),-1)))&gt;=0,TEXT(IFERROR(VALUE(LEFT(LOWER(LEFT($A10,FIND("|",$A10)-1)),3)),IFERROR(VALUE(LEFT(LOWER(LEFT($A10,FIND("|",$A10)-1)),2)),IFERROR(VALUE(LEFT(LOWER(LEFT($A10,FIND("|",$A10)-1)),1)),-1))),"000000")&amp;MID(LOWER(LEFT($A10,FIND("|",$A10)-1)),LEN(TEXT(IFERROR(VALUE(LEFT(LOWER(LEFT($A10,FIND("|",$A10)-1)),3)),IFERROR(VALUE(LEFT(LOWER(LEFT($A10,FIND("|",$A10)-1)),2)),IFERROR(VALUE(LEFT(LOWER(LEFT($A10,FIND("|",$A10)-1)),1)),-1))),"0"))+1,99),LOWER(LEFT($A10,FIND("|",$A10)-1)))&amp;CHAR(9)&amp;TEXT(IF(SUBSTITUTE(MID($A10,FIND("|",$A10)+1,50),"'","")="",0,IFERROR(VALUE(SUBSTITUTE(MID($A10,FIND("|",$A10)+1,50),"'","")),999999)),"000000")&amp;CHAR(9)&amp;TEXT($B10,"0000"))</f>
        <v/>
      </c>
      <c r="E10" s="4">
        <f>IF($D10="","",SUMPRODUCT(($D$5:$D$364&lt;&gt;"")*($D$5:$D$364&lt;$D10))+1)</f>
        <v/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70">
      <c r="A11" s="4">
        <f t="array" ref="A11">IF(N(INDIRECT("'Pull Sheet'!C13"))&gt;0,INDIRECT("'Pull Sheet'!A13")&amp;"|"&amp;INDIRECT("'Pull Sheet'!B13"),"")</f>
        <v/>
      </c>
      <c r="B11" s="4">
        <f>IF(AND($A11&lt;&gt;"",COUNTIF($A$5:$A11,$A11)=1),MAX($B$4:$B10)+1,"")</f>
        <v/>
      </c>
      <c r="C11" s="4">
        <f t="array" ref="C11">IF($A11="","",N(INDIRECT("'Pull Sheet'!C13")))</f>
        <v/>
      </c>
      <c r="D11" s="4">
        <f>IF($B11="","",IF(IFERROR(VALUE(LEFT(LOWER(LEFT($A11,FIND("|",$A11)-1)),3)),IFERROR(VALUE(LEFT(LOWER(LEFT($A11,FIND("|",$A11)-1)),2)),IFERROR(VALUE(LEFT(LOWER(LEFT($A11,FIND("|",$A11)-1)),1)),-1)))&gt;=0,TEXT(IFERROR(VALUE(LEFT(LOWER(LEFT($A11,FIND("|",$A11)-1)),3)),IFERROR(VALUE(LEFT(LOWER(LEFT($A11,FIND("|",$A11)-1)),2)),IFERROR(VALUE(LEFT(LOWER(LEFT($A11,FIND("|",$A11)-1)),1)),-1))),"000000")&amp;MID(LOWER(LEFT($A11,FIND("|",$A11)-1)),LEN(TEXT(IFERROR(VALUE(LEFT(LOWER(LEFT($A11,FIND("|",$A11)-1)),3)),IFERROR(VALUE(LEFT(LOWER(LEFT($A11,FIND("|",$A11)-1)),2)),IFERROR(VALUE(LEFT(LOWER(LEFT($A11,FIND("|",$A11)-1)),1)),-1))),"0"))+1,99),LOWER(LEFT($A11,FIND("|",$A11)-1)))&amp;CHAR(9)&amp;TEXT(IF(SUBSTITUTE(MID($A11,FIND("|",$A11)+1,50),"'","")="",0,IFERROR(VALUE(SUBSTITUTE(MID($A11,FIND("|",$A11)+1,50),"'","")),999999)),"000000")&amp;CHAR(9)&amp;TEXT($B11,"0000"))</f>
        <v/>
      </c>
      <c r="E11" s="4">
        <f>IF($D11="","",SUMPRODUCT(($D$5:$D$364&lt;&gt;"")*($D$5:$D$364&lt;$D11))+1)</f>
        <v/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70">
      <c r="A12" s="4">
        <f t="array" ref="A12">IF(N(INDIRECT("'Pull Sheet'!C14"))&gt;0,INDIRECT("'Pull Sheet'!A14")&amp;"|"&amp;INDIRECT("'Pull Sheet'!B14"),"")</f>
        <v/>
      </c>
      <c r="B12" s="4">
        <f>IF(AND($A12&lt;&gt;"",COUNTIF($A$5:$A12,$A12)=1),MAX($B$4:$B11)+1,"")</f>
        <v/>
      </c>
      <c r="C12" s="4">
        <f t="array" ref="C12">IF($A12="","",N(INDIRECT("'Pull Sheet'!C14")))</f>
        <v/>
      </c>
      <c r="D12" s="4">
        <f>IF($B12="","",IF(IFERROR(VALUE(LEFT(LOWER(LEFT($A12,FIND("|",$A12)-1)),3)),IFERROR(VALUE(LEFT(LOWER(LEFT($A12,FIND("|",$A12)-1)),2)),IFERROR(VALUE(LEFT(LOWER(LEFT($A12,FIND("|",$A12)-1)),1)),-1)))&gt;=0,TEXT(IFERROR(VALUE(LEFT(LOWER(LEFT($A12,FIND("|",$A12)-1)),3)),IFERROR(VALUE(LEFT(LOWER(LEFT($A12,FIND("|",$A12)-1)),2)),IFERROR(VALUE(LEFT(LOWER(LEFT($A12,FIND("|",$A12)-1)),1)),-1))),"000000")&amp;MID(LOWER(LEFT($A12,FIND("|",$A12)-1)),LEN(TEXT(IFERROR(VALUE(LEFT(LOWER(LEFT($A12,FIND("|",$A12)-1)),3)),IFERROR(VALUE(LEFT(LOWER(LEFT($A12,FIND("|",$A12)-1)),2)),IFERROR(VALUE(LEFT(LOWER(LEFT($A12,FIND("|",$A12)-1)),1)),-1))),"0"))+1,99),LOWER(LEFT($A12,FIND("|",$A12)-1)))&amp;CHAR(9)&amp;TEXT(IF(SUBSTITUTE(MID($A12,FIND("|",$A12)+1,50),"'","")="",0,IFERROR(VALUE(SUBSTITUTE(MID($A12,FIND("|",$A12)+1,50),"'","")),999999)),"000000")&amp;CHAR(9)&amp;TEXT($B12,"0000"))</f>
        <v/>
      </c>
      <c r="E12" s="4">
        <f>IF($D12="","",SUMPRODUCT(($D$5:$D$364&lt;&gt;"")*($D$5:$D$364&lt;$D12))+1)</f>
        <v/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70">
      <c r="A13" s="4">
        <f t="array" ref="A13">IF(N(INDIRECT("'Pull Sheet'!C15"))&gt;0,INDIRECT("'Pull Sheet'!A15")&amp;"|"&amp;INDIRECT("'Pull Sheet'!B15"),"")</f>
        <v/>
      </c>
      <c r="B13" s="4">
        <f>IF(AND($A13&lt;&gt;"",COUNTIF($A$5:$A13,$A13)=1),MAX($B$4:$B12)+1,"")</f>
        <v/>
      </c>
      <c r="C13" s="4">
        <f t="array" ref="C13">IF($A13="","",N(INDIRECT("'Pull Sheet'!C15")))</f>
        <v/>
      </c>
      <c r="D13" s="4">
        <f>IF($B13="","",IF(IFERROR(VALUE(LEFT(LOWER(LEFT($A13,FIND("|",$A13)-1)),3)),IFERROR(VALUE(LEFT(LOWER(LEFT($A13,FIND("|",$A13)-1)),2)),IFERROR(VALUE(LEFT(LOWER(LEFT($A13,FIND("|",$A13)-1)),1)),-1)))&gt;=0,TEXT(IFERROR(VALUE(LEFT(LOWER(LEFT($A13,FIND("|",$A13)-1)),3)),IFERROR(VALUE(LEFT(LOWER(LEFT($A13,FIND("|",$A13)-1)),2)),IFERROR(VALUE(LEFT(LOWER(LEFT($A13,FIND("|",$A13)-1)),1)),-1))),"000000")&amp;MID(LOWER(LEFT($A13,FIND("|",$A13)-1)),LEN(TEXT(IFERROR(VALUE(LEFT(LOWER(LEFT($A13,FIND("|",$A13)-1)),3)),IFERROR(VALUE(LEFT(LOWER(LEFT($A13,FIND("|",$A13)-1)),2)),IFERROR(VALUE(LEFT(LOWER(LEFT($A13,FIND("|",$A13)-1)),1)),-1))),"0"))+1,99),LOWER(LEFT($A13,FIND("|",$A13)-1)))&amp;CHAR(9)&amp;TEXT(IF(SUBSTITUTE(MID($A13,FIND("|",$A13)+1,50),"'","")="",0,IFERROR(VALUE(SUBSTITUTE(MID($A13,FIND("|",$A13)+1,50),"'","")),999999)),"000000")&amp;CHAR(9)&amp;TEXT($B13,"0000"))</f>
        <v/>
      </c>
      <c r="E13" s="4">
        <f>IF($D13="","",SUMPRODUCT(($D$5:$D$364&lt;&gt;"")*($D$5:$D$364&lt;$D13))+1)</f>
        <v/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70">
      <c r="A14" s="4">
        <f t="array" ref="A14">IF(N(INDIRECT("'Pull Sheet'!C16"))&gt;0,INDIRECT("'Pull Sheet'!A16")&amp;"|"&amp;INDIRECT("'Pull Sheet'!B16"),"")</f>
        <v/>
      </c>
      <c r="B14" s="4">
        <f>IF(AND($A14&lt;&gt;"",COUNTIF($A$5:$A14,$A14)=1),MAX($B$4:$B13)+1,"")</f>
        <v/>
      </c>
      <c r="C14" s="4">
        <f t="array" ref="C14">IF($A14="","",N(INDIRECT("'Pull Sheet'!C16")))</f>
        <v/>
      </c>
      <c r="D14" s="4">
        <f>IF($B14="","",IF(IFERROR(VALUE(LEFT(LOWER(LEFT($A14,FIND("|",$A14)-1)),3)),IFERROR(VALUE(LEFT(LOWER(LEFT($A14,FIND("|",$A14)-1)),2)),IFERROR(VALUE(LEFT(LOWER(LEFT($A14,FIND("|",$A14)-1)),1)),-1)))&gt;=0,TEXT(IFERROR(VALUE(LEFT(LOWER(LEFT($A14,FIND("|",$A14)-1)),3)),IFERROR(VALUE(LEFT(LOWER(LEFT($A14,FIND("|",$A14)-1)),2)),IFERROR(VALUE(LEFT(LOWER(LEFT($A14,FIND("|",$A14)-1)),1)),-1))),"000000")&amp;MID(LOWER(LEFT($A14,FIND("|",$A14)-1)),LEN(TEXT(IFERROR(VALUE(LEFT(LOWER(LEFT($A14,FIND("|",$A14)-1)),3)),IFERROR(VALUE(LEFT(LOWER(LEFT($A14,FIND("|",$A14)-1)),2)),IFERROR(VALUE(LEFT(LOWER(LEFT($A14,FIND("|",$A14)-1)),1)),-1))),"0"))+1,99),LOWER(LEFT($A14,FIND("|",$A14)-1)))&amp;CHAR(9)&amp;TEXT(IF(SUBSTITUTE(MID($A14,FIND("|",$A14)+1,50),"'","")="",0,IFERROR(VALUE(SUBSTITUTE(MID($A14,FIND("|",$A14)+1,50),"'","")),999999)),"000000")&amp;CHAR(9)&amp;TEXT($B14,"0000"))</f>
        <v/>
      </c>
      <c r="E14" s="4">
        <f>IF($D14="","",SUMPRODUCT(($D$5:$D$364&lt;&gt;"")*($D$5:$D$364&lt;$D14))+1)</f>
        <v/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70">
      <c r="A15" s="4">
        <f t="array" ref="A15">IF(N(INDIRECT("'Pull Sheet'!C17"))&gt;0,INDIRECT("'Pull Sheet'!A17")&amp;"|"&amp;INDIRECT("'Pull Sheet'!B17"),"")</f>
        <v/>
      </c>
      <c r="B15" s="4">
        <f>IF(AND($A15&lt;&gt;"",COUNTIF($A$5:$A15,$A15)=1),MAX($B$4:$B14)+1,"")</f>
        <v/>
      </c>
      <c r="C15" s="4">
        <f t="array" ref="C15">IF($A15="","",N(INDIRECT("'Pull Sheet'!C17")))</f>
        <v/>
      </c>
      <c r="D15" s="4">
        <f>IF($B15="","",IF(IFERROR(VALUE(LEFT(LOWER(LEFT($A15,FIND("|",$A15)-1)),3)),IFERROR(VALUE(LEFT(LOWER(LEFT($A15,FIND("|",$A15)-1)),2)),IFERROR(VALUE(LEFT(LOWER(LEFT($A15,FIND("|",$A15)-1)),1)),-1)))&gt;=0,TEXT(IFERROR(VALUE(LEFT(LOWER(LEFT($A15,FIND("|",$A15)-1)),3)),IFERROR(VALUE(LEFT(LOWER(LEFT($A15,FIND("|",$A15)-1)),2)),IFERROR(VALUE(LEFT(LOWER(LEFT($A15,FIND("|",$A15)-1)),1)),-1))),"000000")&amp;MID(LOWER(LEFT($A15,FIND("|",$A15)-1)),LEN(TEXT(IFERROR(VALUE(LEFT(LOWER(LEFT($A15,FIND("|",$A15)-1)),3)),IFERROR(VALUE(LEFT(LOWER(LEFT($A15,FIND("|",$A15)-1)),2)),IFERROR(VALUE(LEFT(LOWER(LEFT($A15,FIND("|",$A15)-1)),1)),-1))),"0"))+1,99),LOWER(LEFT($A15,FIND("|",$A15)-1)))&amp;CHAR(9)&amp;TEXT(IF(SUBSTITUTE(MID($A15,FIND("|",$A15)+1,50),"'","")="",0,IFERROR(VALUE(SUBSTITUTE(MID($A15,FIND("|",$A15)+1,50),"'","")),999999)),"000000")&amp;CHAR(9)&amp;TEXT($B15,"0000"))</f>
        <v/>
      </c>
      <c r="E15" s="4">
        <f>IF($D15="","",SUMPRODUCT(($D$5:$D$364&lt;&gt;"")*($D$5:$D$364&lt;$D15))+1)</f>
        <v/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 s="70">
      <c r="A16" s="4">
        <f t="array" ref="A16">IF(N(INDIRECT("'Pull Sheet'!C18"))&gt;0,INDIRECT("'Pull Sheet'!A18")&amp;"|"&amp;INDIRECT("'Pull Sheet'!B18"),"")</f>
        <v/>
      </c>
      <c r="B16" s="4">
        <f>IF(AND($A16&lt;&gt;"",COUNTIF($A$5:$A16,$A16)=1),MAX($B$4:$B15)+1,"")</f>
        <v/>
      </c>
      <c r="C16" s="4">
        <f t="array" ref="C16">IF($A16="","",N(INDIRECT("'Pull Sheet'!C18")))</f>
        <v/>
      </c>
      <c r="D16" s="4">
        <f>IF($B16="","",IF(IFERROR(VALUE(LEFT(LOWER(LEFT($A16,FIND("|",$A16)-1)),3)),IFERROR(VALUE(LEFT(LOWER(LEFT($A16,FIND("|",$A16)-1)),2)),IFERROR(VALUE(LEFT(LOWER(LEFT($A16,FIND("|",$A16)-1)),1)),-1)))&gt;=0,TEXT(IFERROR(VALUE(LEFT(LOWER(LEFT($A16,FIND("|",$A16)-1)),3)),IFERROR(VALUE(LEFT(LOWER(LEFT($A16,FIND("|",$A16)-1)),2)),IFERROR(VALUE(LEFT(LOWER(LEFT($A16,FIND("|",$A16)-1)),1)),-1))),"000000")&amp;MID(LOWER(LEFT($A16,FIND("|",$A16)-1)),LEN(TEXT(IFERROR(VALUE(LEFT(LOWER(LEFT($A16,FIND("|",$A16)-1)),3)),IFERROR(VALUE(LEFT(LOWER(LEFT($A16,FIND("|",$A16)-1)),2)),IFERROR(VALUE(LEFT(LOWER(LEFT($A16,FIND("|",$A16)-1)),1)),-1))),"0"))+1,99),LOWER(LEFT($A16,FIND("|",$A16)-1)))&amp;CHAR(9)&amp;TEXT(IF(SUBSTITUTE(MID($A16,FIND("|",$A16)+1,50),"'","")="",0,IFERROR(VALUE(SUBSTITUTE(MID($A16,FIND("|",$A16)+1,50),"'","")),999999)),"000000")&amp;CHAR(9)&amp;TEXT($B16,"0000"))</f>
        <v/>
      </c>
      <c r="E16" s="4">
        <f>IF($D16="","",SUMPRODUCT(($D$5:$D$364&lt;&gt;"")*($D$5:$D$364&lt;$D16))+1)</f>
        <v/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70">
      <c r="A17" s="4">
        <f t="array" ref="A17">IF(N(INDIRECT("'Pull Sheet'!C19"))&gt;0,INDIRECT("'Pull Sheet'!A19")&amp;"|"&amp;INDIRECT("'Pull Sheet'!B19"),"")</f>
        <v/>
      </c>
      <c r="B17" s="4">
        <f>IF(AND($A17&lt;&gt;"",COUNTIF($A$5:$A17,$A17)=1),MAX($B$4:$B16)+1,"")</f>
        <v/>
      </c>
      <c r="C17" s="4">
        <f t="array" ref="C17">IF($A17="","",N(INDIRECT("'Pull Sheet'!C19")))</f>
        <v/>
      </c>
      <c r="D17" s="4">
        <f>IF($B17="","",IF(IFERROR(VALUE(LEFT(LOWER(LEFT($A17,FIND("|",$A17)-1)),3)),IFERROR(VALUE(LEFT(LOWER(LEFT($A17,FIND("|",$A17)-1)),2)),IFERROR(VALUE(LEFT(LOWER(LEFT($A17,FIND("|",$A17)-1)),1)),-1)))&gt;=0,TEXT(IFERROR(VALUE(LEFT(LOWER(LEFT($A17,FIND("|",$A17)-1)),3)),IFERROR(VALUE(LEFT(LOWER(LEFT($A17,FIND("|",$A17)-1)),2)),IFERROR(VALUE(LEFT(LOWER(LEFT($A17,FIND("|",$A17)-1)),1)),-1))),"000000")&amp;MID(LOWER(LEFT($A17,FIND("|",$A17)-1)),LEN(TEXT(IFERROR(VALUE(LEFT(LOWER(LEFT($A17,FIND("|",$A17)-1)),3)),IFERROR(VALUE(LEFT(LOWER(LEFT($A17,FIND("|",$A17)-1)),2)),IFERROR(VALUE(LEFT(LOWER(LEFT($A17,FIND("|",$A17)-1)),1)),-1))),"0"))+1,99),LOWER(LEFT($A17,FIND("|",$A17)-1)))&amp;CHAR(9)&amp;TEXT(IF(SUBSTITUTE(MID($A17,FIND("|",$A17)+1,50),"'","")="",0,IFERROR(VALUE(SUBSTITUTE(MID($A17,FIND("|",$A17)+1,50),"'","")),999999)),"000000")&amp;CHAR(9)&amp;TEXT($B17,"0000"))</f>
        <v/>
      </c>
      <c r="E17" s="4">
        <f>IF($D17="","",SUMPRODUCT(($D$5:$D$364&lt;&gt;"")*($D$5:$D$364&lt;$D17))+1)</f>
        <v/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70">
      <c r="A18" s="4">
        <f t="array" ref="A18">IF(N(INDIRECT("'Pull Sheet'!C20"))&gt;0,INDIRECT("'Pull Sheet'!A20")&amp;"|"&amp;INDIRECT("'Pull Sheet'!B20"),"")</f>
        <v/>
      </c>
      <c r="B18" s="4">
        <f>IF(AND($A18&lt;&gt;"",COUNTIF($A$5:$A18,$A18)=1),MAX($B$4:$B17)+1,"")</f>
        <v/>
      </c>
      <c r="C18" s="4">
        <f t="array" ref="C18">IF($A18="","",N(INDIRECT("'Pull Sheet'!C20")))</f>
        <v/>
      </c>
      <c r="D18" s="4">
        <f>IF($B18="","",IF(IFERROR(VALUE(LEFT(LOWER(LEFT($A18,FIND("|",$A18)-1)),3)),IFERROR(VALUE(LEFT(LOWER(LEFT($A18,FIND("|",$A18)-1)),2)),IFERROR(VALUE(LEFT(LOWER(LEFT($A18,FIND("|",$A18)-1)),1)),-1)))&gt;=0,TEXT(IFERROR(VALUE(LEFT(LOWER(LEFT($A18,FIND("|",$A18)-1)),3)),IFERROR(VALUE(LEFT(LOWER(LEFT($A18,FIND("|",$A18)-1)),2)),IFERROR(VALUE(LEFT(LOWER(LEFT($A18,FIND("|",$A18)-1)),1)),-1))),"000000")&amp;MID(LOWER(LEFT($A18,FIND("|",$A18)-1)),LEN(TEXT(IFERROR(VALUE(LEFT(LOWER(LEFT($A18,FIND("|",$A18)-1)),3)),IFERROR(VALUE(LEFT(LOWER(LEFT($A18,FIND("|",$A18)-1)),2)),IFERROR(VALUE(LEFT(LOWER(LEFT($A18,FIND("|",$A18)-1)),1)),-1))),"0"))+1,99),LOWER(LEFT($A18,FIND("|",$A18)-1)))&amp;CHAR(9)&amp;TEXT(IF(SUBSTITUTE(MID($A18,FIND("|",$A18)+1,50),"'","")="",0,IFERROR(VALUE(SUBSTITUTE(MID($A18,FIND("|",$A18)+1,50),"'","")),999999)),"000000")&amp;CHAR(9)&amp;TEXT($B18,"0000"))</f>
        <v/>
      </c>
      <c r="E18" s="4">
        <f>IF($D18="","",SUMPRODUCT(($D$5:$D$364&lt;&gt;"")*($D$5:$D$364&lt;$D18))+1)</f>
        <v/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 s="70">
      <c r="A19" s="4">
        <f t="array" ref="A19">IF(N(INDIRECT("'Pull Sheet'!C21"))&gt;0,INDIRECT("'Pull Sheet'!A21")&amp;"|"&amp;INDIRECT("'Pull Sheet'!B21"),"")</f>
        <v/>
      </c>
      <c r="B19" s="4">
        <f>IF(AND($A19&lt;&gt;"",COUNTIF($A$5:$A19,$A19)=1),MAX($B$4:$B18)+1,"")</f>
        <v/>
      </c>
      <c r="C19" s="4">
        <f t="array" ref="C19">IF($A19="","",N(INDIRECT("'Pull Sheet'!C21")))</f>
        <v/>
      </c>
      <c r="D19" s="4">
        <f>IF($B19="","",IF(IFERROR(VALUE(LEFT(LOWER(LEFT($A19,FIND("|",$A19)-1)),3)),IFERROR(VALUE(LEFT(LOWER(LEFT($A19,FIND("|",$A19)-1)),2)),IFERROR(VALUE(LEFT(LOWER(LEFT($A19,FIND("|",$A19)-1)),1)),-1)))&gt;=0,TEXT(IFERROR(VALUE(LEFT(LOWER(LEFT($A19,FIND("|",$A19)-1)),3)),IFERROR(VALUE(LEFT(LOWER(LEFT($A19,FIND("|",$A19)-1)),2)),IFERROR(VALUE(LEFT(LOWER(LEFT($A19,FIND("|",$A19)-1)),1)),-1))),"000000")&amp;MID(LOWER(LEFT($A19,FIND("|",$A19)-1)),LEN(TEXT(IFERROR(VALUE(LEFT(LOWER(LEFT($A19,FIND("|",$A19)-1)),3)),IFERROR(VALUE(LEFT(LOWER(LEFT($A19,FIND("|",$A19)-1)),2)),IFERROR(VALUE(LEFT(LOWER(LEFT($A19,FIND("|",$A19)-1)),1)),-1))),"0"))+1,99),LOWER(LEFT($A19,FIND("|",$A19)-1)))&amp;CHAR(9)&amp;TEXT(IF(SUBSTITUTE(MID($A19,FIND("|",$A19)+1,50),"'","")="",0,IFERROR(VALUE(SUBSTITUTE(MID($A19,FIND("|",$A19)+1,50),"'","")),999999)),"000000")&amp;CHAR(9)&amp;TEXT($B19,"0000"))</f>
        <v/>
      </c>
      <c r="E19" s="4">
        <f>IF($D19="","",SUMPRODUCT(($D$5:$D$364&lt;&gt;"")*($D$5:$D$364&lt;$D19))+1)</f>
        <v/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70">
      <c r="A20" s="4">
        <f t="array" ref="A20">IF(N(INDIRECT("'Pull Sheet'!C22"))&gt;0,INDIRECT("'Pull Sheet'!A22")&amp;"|"&amp;INDIRECT("'Pull Sheet'!B22"),"")</f>
        <v/>
      </c>
      <c r="B20" s="4">
        <f>IF(AND($A20&lt;&gt;"",COUNTIF($A$5:$A20,$A20)=1),MAX($B$4:$B19)+1,"")</f>
        <v/>
      </c>
      <c r="C20" s="4">
        <f t="array" ref="C20">IF($A20="","",N(INDIRECT("'Pull Sheet'!C22")))</f>
        <v/>
      </c>
      <c r="D20" s="4">
        <f>IF($B20="","",IF(IFERROR(VALUE(LEFT(LOWER(LEFT($A20,FIND("|",$A20)-1)),3)),IFERROR(VALUE(LEFT(LOWER(LEFT($A20,FIND("|",$A20)-1)),2)),IFERROR(VALUE(LEFT(LOWER(LEFT($A20,FIND("|",$A20)-1)),1)),-1)))&gt;=0,TEXT(IFERROR(VALUE(LEFT(LOWER(LEFT($A20,FIND("|",$A20)-1)),3)),IFERROR(VALUE(LEFT(LOWER(LEFT($A20,FIND("|",$A20)-1)),2)),IFERROR(VALUE(LEFT(LOWER(LEFT($A20,FIND("|",$A20)-1)),1)),-1))),"000000")&amp;MID(LOWER(LEFT($A20,FIND("|",$A20)-1)),LEN(TEXT(IFERROR(VALUE(LEFT(LOWER(LEFT($A20,FIND("|",$A20)-1)),3)),IFERROR(VALUE(LEFT(LOWER(LEFT($A20,FIND("|",$A20)-1)),2)),IFERROR(VALUE(LEFT(LOWER(LEFT($A20,FIND("|",$A20)-1)),1)),-1))),"0"))+1,99),LOWER(LEFT($A20,FIND("|",$A20)-1)))&amp;CHAR(9)&amp;TEXT(IF(SUBSTITUTE(MID($A20,FIND("|",$A20)+1,50),"'","")="",0,IFERROR(VALUE(SUBSTITUTE(MID($A20,FIND("|",$A20)+1,50),"'","")),999999)),"000000")&amp;CHAR(9)&amp;TEXT($B20,"0000"))</f>
        <v/>
      </c>
      <c r="E20" s="4">
        <f>IF($D20="","",SUMPRODUCT(($D$5:$D$364&lt;&gt;"")*($D$5:$D$364&lt;$D20))+1)</f>
        <v/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70">
      <c r="A21" s="4">
        <f t="array" ref="A21">IF(N(INDIRECT("'Pull Sheet'!C23"))&gt;0,INDIRECT("'Pull Sheet'!A23")&amp;"|"&amp;INDIRECT("'Pull Sheet'!B23"),"")</f>
        <v/>
      </c>
      <c r="B21" s="4">
        <f>IF(AND($A21&lt;&gt;"",COUNTIF($A$5:$A21,$A21)=1),MAX($B$4:$B20)+1,"")</f>
        <v/>
      </c>
      <c r="C21" s="4">
        <f t="array" ref="C21">IF($A21="","",N(INDIRECT("'Pull Sheet'!C23")))</f>
        <v/>
      </c>
      <c r="D21" s="4">
        <f>IF($B21="","",IF(IFERROR(VALUE(LEFT(LOWER(LEFT($A21,FIND("|",$A21)-1)),3)),IFERROR(VALUE(LEFT(LOWER(LEFT($A21,FIND("|",$A21)-1)),2)),IFERROR(VALUE(LEFT(LOWER(LEFT($A21,FIND("|",$A21)-1)),1)),-1)))&gt;=0,TEXT(IFERROR(VALUE(LEFT(LOWER(LEFT($A21,FIND("|",$A21)-1)),3)),IFERROR(VALUE(LEFT(LOWER(LEFT($A21,FIND("|",$A21)-1)),2)),IFERROR(VALUE(LEFT(LOWER(LEFT($A21,FIND("|",$A21)-1)),1)),-1))),"000000")&amp;MID(LOWER(LEFT($A21,FIND("|",$A21)-1)),LEN(TEXT(IFERROR(VALUE(LEFT(LOWER(LEFT($A21,FIND("|",$A21)-1)),3)),IFERROR(VALUE(LEFT(LOWER(LEFT($A21,FIND("|",$A21)-1)),2)),IFERROR(VALUE(LEFT(LOWER(LEFT($A21,FIND("|",$A21)-1)),1)),-1))),"0"))+1,99),LOWER(LEFT($A21,FIND("|",$A21)-1)))&amp;CHAR(9)&amp;TEXT(IF(SUBSTITUTE(MID($A21,FIND("|",$A21)+1,50),"'","")="",0,IFERROR(VALUE(SUBSTITUTE(MID($A21,FIND("|",$A21)+1,50),"'","")),999999)),"000000")&amp;CHAR(9)&amp;TEXT($B21,"0000"))</f>
        <v/>
      </c>
      <c r="E21" s="4">
        <f>IF($D21="","",SUMPRODUCT(($D$5:$D$364&lt;&gt;"")*($D$5:$D$364&lt;$D21))+1)</f>
        <v/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70">
      <c r="A22" s="4">
        <f t="array" ref="A22">IF(N(INDIRECT("'Pull Sheet'!C24"))&gt;0,INDIRECT("'Pull Sheet'!A24")&amp;"|"&amp;INDIRECT("'Pull Sheet'!B24"),"")</f>
        <v/>
      </c>
      <c r="B22" s="4">
        <f>IF(AND($A22&lt;&gt;"",COUNTIF($A$5:$A22,$A22)=1),MAX($B$4:$B21)+1,"")</f>
        <v/>
      </c>
      <c r="C22" s="4">
        <f t="array" ref="C22">IF($A22="","",N(INDIRECT("'Pull Sheet'!C24")))</f>
        <v/>
      </c>
      <c r="D22" s="4">
        <f>IF($B22="","",IF(IFERROR(VALUE(LEFT(LOWER(LEFT($A22,FIND("|",$A22)-1)),3)),IFERROR(VALUE(LEFT(LOWER(LEFT($A22,FIND("|",$A22)-1)),2)),IFERROR(VALUE(LEFT(LOWER(LEFT($A22,FIND("|",$A22)-1)),1)),-1)))&gt;=0,TEXT(IFERROR(VALUE(LEFT(LOWER(LEFT($A22,FIND("|",$A22)-1)),3)),IFERROR(VALUE(LEFT(LOWER(LEFT($A22,FIND("|",$A22)-1)),2)),IFERROR(VALUE(LEFT(LOWER(LEFT($A22,FIND("|",$A22)-1)),1)),-1))),"000000")&amp;MID(LOWER(LEFT($A22,FIND("|",$A22)-1)),LEN(TEXT(IFERROR(VALUE(LEFT(LOWER(LEFT($A22,FIND("|",$A22)-1)),3)),IFERROR(VALUE(LEFT(LOWER(LEFT($A22,FIND("|",$A22)-1)),2)),IFERROR(VALUE(LEFT(LOWER(LEFT($A22,FIND("|",$A22)-1)),1)),-1))),"0"))+1,99),LOWER(LEFT($A22,FIND("|",$A22)-1)))&amp;CHAR(9)&amp;TEXT(IF(SUBSTITUTE(MID($A22,FIND("|",$A22)+1,50),"'","")="",0,IFERROR(VALUE(SUBSTITUTE(MID($A22,FIND("|",$A22)+1,50),"'","")),999999)),"000000")&amp;CHAR(9)&amp;TEXT($B22,"0000"))</f>
        <v/>
      </c>
      <c r="E22" s="4">
        <f>IF($D22="","",SUMPRODUCT(($D$5:$D$364&lt;&gt;"")*($D$5:$D$364&lt;$D22))+1)</f>
        <v/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70">
      <c r="A23" s="4">
        <f t="array" ref="A23">IF(N(INDIRECT("'Pull Sheet'!C25"))&gt;0,INDIRECT("'Pull Sheet'!A25")&amp;"|"&amp;INDIRECT("'Pull Sheet'!B25"),"")</f>
        <v/>
      </c>
      <c r="B23" s="4">
        <f>IF(AND($A23&lt;&gt;"",COUNTIF($A$5:$A23,$A23)=1),MAX($B$4:$B22)+1,"")</f>
        <v/>
      </c>
      <c r="C23" s="4">
        <f t="array" ref="C23">IF($A23="","",N(INDIRECT("'Pull Sheet'!C25")))</f>
        <v/>
      </c>
      <c r="D23" s="4">
        <f>IF($B23="","",IF(IFERROR(VALUE(LEFT(LOWER(LEFT($A23,FIND("|",$A23)-1)),3)),IFERROR(VALUE(LEFT(LOWER(LEFT($A23,FIND("|",$A23)-1)),2)),IFERROR(VALUE(LEFT(LOWER(LEFT($A23,FIND("|",$A23)-1)),1)),-1)))&gt;=0,TEXT(IFERROR(VALUE(LEFT(LOWER(LEFT($A23,FIND("|",$A23)-1)),3)),IFERROR(VALUE(LEFT(LOWER(LEFT($A23,FIND("|",$A23)-1)),2)),IFERROR(VALUE(LEFT(LOWER(LEFT($A23,FIND("|",$A23)-1)),1)),-1))),"000000")&amp;MID(LOWER(LEFT($A23,FIND("|",$A23)-1)),LEN(TEXT(IFERROR(VALUE(LEFT(LOWER(LEFT($A23,FIND("|",$A23)-1)),3)),IFERROR(VALUE(LEFT(LOWER(LEFT($A23,FIND("|",$A23)-1)),2)),IFERROR(VALUE(LEFT(LOWER(LEFT($A23,FIND("|",$A23)-1)),1)),-1))),"0"))+1,99),LOWER(LEFT($A23,FIND("|",$A23)-1)))&amp;CHAR(9)&amp;TEXT(IF(SUBSTITUTE(MID($A23,FIND("|",$A23)+1,50),"'","")="",0,IFERROR(VALUE(SUBSTITUTE(MID($A23,FIND("|",$A23)+1,50),"'","")),999999)),"000000")&amp;CHAR(9)&amp;TEXT($B23,"0000"))</f>
        <v/>
      </c>
      <c r="E23" s="4">
        <f>IF($D23="","",SUMPRODUCT(($D$5:$D$364&lt;&gt;"")*($D$5:$D$364&lt;$D23))+1)</f>
        <v/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70">
      <c r="A24" s="4">
        <f t="array" ref="A24">IF(N(INDIRECT("'Pull Sheet'!C26"))&gt;0,INDIRECT("'Pull Sheet'!A26")&amp;"|"&amp;INDIRECT("'Pull Sheet'!B26"),"")</f>
        <v/>
      </c>
      <c r="B24" s="4">
        <f>IF(AND($A24&lt;&gt;"",COUNTIF($A$5:$A24,$A24)=1),MAX($B$4:$B23)+1,"")</f>
        <v/>
      </c>
      <c r="C24" s="4">
        <f t="array" ref="C24">IF($A24="","",N(INDIRECT("'Pull Sheet'!C26")))</f>
        <v/>
      </c>
      <c r="D24" s="4">
        <f>IF($B24="","",IF(IFERROR(VALUE(LEFT(LOWER(LEFT($A24,FIND("|",$A24)-1)),3)),IFERROR(VALUE(LEFT(LOWER(LEFT($A24,FIND("|",$A24)-1)),2)),IFERROR(VALUE(LEFT(LOWER(LEFT($A24,FIND("|",$A24)-1)),1)),-1)))&gt;=0,TEXT(IFERROR(VALUE(LEFT(LOWER(LEFT($A24,FIND("|",$A24)-1)),3)),IFERROR(VALUE(LEFT(LOWER(LEFT($A24,FIND("|",$A24)-1)),2)),IFERROR(VALUE(LEFT(LOWER(LEFT($A24,FIND("|",$A24)-1)),1)),-1))),"000000")&amp;MID(LOWER(LEFT($A24,FIND("|",$A24)-1)),LEN(TEXT(IFERROR(VALUE(LEFT(LOWER(LEFT($A24,FIND("|",$A24)-1)),3)),IFERROR(VALUE(LEFT(LOWER(LEFT($A24,FIND("|",$A24)-1)),2)),IFERROR(VALUE(LEFT(LOWER(LEFT($A24,FIND("|",$A24)-1)),1)),-1))),"0"))+1,99),LOWER(LEFT($A24,FIND("|",$A24)-1)))&amp;CHAR(9)&amp;TEXT(IF(SUBSTITUTE(MID($A24,FIND("|",$A24)+1,50),"'","")="",0,IFERROR(VALUE(SUBSTITUTE(MID($A24,FIND("|",$A24)+1,50),"'","")),999999)),"000000")&amp;CHAR(9)&amp;TEXT($B24,"0000"))</f>
        <v/>
      </c>
      <c r="E24" s="4">
        <f>IF($D24="","",SUMPRODUCT(($D$5:$D$364&lt;&gt;"")*($D$5:$D$364&lt;$D24))+1)</f>
        <v/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70">
      <c r="A25" s="4">
        <f t="array" ref="A25">IF(N(INDIRECT("'Pull Sheet'!C27"))&gt;0,INDIRECT("'Pull Sheet'!A27")&amp;"|"&amp;INDIRECT("'Pull Sheet'!B27"),"")</f>
        <v/>
      </c>
      <c r="B25" s="4">
        <f>IF(AND($A25&lt;&gt;"",COUNTIF($A$5:$A25,$A25)=1),MAX($B$4:$B24)+1,"")</f>
        <v/>
      </c>
      <c r="C25" s="4">
        <f t="array" ref="C25">IF($A25="","",N(INDIRECT("'Pull Sheet'!C27")))</f>
        <v/>
      </c>
      <c r="D25" s="4">
        <f>IF($B25="","",IF(IFERROR(VALUE(LEFT(LOWER(LEFT($A25,FIND("|",$A25)-1)),3)),IFERROR(VALUE(LEFT(LOWER(LEFT($A25,FIND("|",$A25)-1)),2)),IFERROR(VALUE(LEFT(LOWER(LEFT($A25,FIND("|",$A25)-1)),1)),-1)))&gt;=0,TEXT(IFERROR(VALUE(LEFT(LOWER(LEFT($A25,FIND("|",$A25)-1)),3)),IFERROR(VALUE(LEFT(LOWER(LEFT($A25,FIND("|",$A25)-1)),2)),IFERROR(VALUE(LEFT(LOWER(LEFT($A25,FIND("|",$A25)-1)),1)),-1))),"000000")&amp;MID(LOWER(LEFT($A25,FIND("|",$A25)-1)),LEN(TEXT(IFERROR(VALUE(LEFT(LOWER(LEFT($A25,FIND("|",$A25)-1)),3)),IFERROR(VALUE(LEFT(LOWER(LEFT($A25,FIND("|",$A25)-1)),2)),IFERROR(VALUE(LEFT(LOWER(LEFT($A25,FIND("|",$A25)-1)),1)),-1))),"0"))+1,99),LOWER(LEFT($A25,FIND("|",$A25)-1)))&amp;CHAR(9)&amp;TEXT(IF(SUBSTITUTE(MID($A25,FIND("|",$A25)+1,50),"'","")="",0,IFERROR(VALUE(SUBSTITUTE(MID($A25,FIND("|",$A25)+1,50),"'","")),999999)),"000000")&amp;CHAR(9)&amp;TEXT($B25,"0000"))</f>
        <v/>
      </c>
      <c r="E25" s="4">
        <f>IF($D25="","",SUMPRODUCT(($D$5:$D$364&lt;&gt;"")*($D$5:$D$364&lt;$D25))+1)</f>
        <v/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70">
      <c r="A26" s="4">
        <f t="array" ref="A26">IF(N(INDIRECT("'Pull Sheet'!C28"))&gt;0,INDIRECT("'Pull Sheet'!A28")&amp;"|"&amp;INDIRECT("'Pull Sheet'!B28"),"")</f>
        <v/>
      </c>
      <c r="B26" s="4">
        <f>IF(AND($A26&lt;&gt;"",COUNTIF($A$5:$A26,$A26)=1),MAX($B$4:$B25)+1,"")</f>
        <v/>
      </c>
      <c r="C26" s="4">
        <f t="array" ref="C26">IF($A26="","",N(INDIRECT("'Pull Sheet'!C28")))</f>
        <v/>
      </c>
      <c r="D26" s="4">
        <f>IF($B26="","",IF(IFERROR(VALUE(LEFT(LOWER(LEFT($A26,FIND("|",$A26)-1)),3)),IFERROR(VALUE(LEFT(LOWER(LEFT($A26,FIND("|",$A26)-1)),2)),IFERROR(VALUE(LEFT(LOWER(LEFT($A26,FIND("|",$A26)-1)),1)),-1)))&gt;=0,TEXT(IFERROR(VALUE(LEFT(LOWER(LEFT($A26,FIND("|",$A26)-1)),3)),IFERROR(VALUE(LEFT(LOWER(LEFT($A26,FIND("|",$A26)-1)),2)),IFERROR(VALUE(LEFT(LOWER(LEFT($A26,FIND("|",$A26)-1)),1)),-1))),"000000")&amp;MID(LOWER(LEFT($A26,FIND("|",$A26)-1)),LEN(TEXT(IFERROR(VALUE(LEFT(LOWER(LEFT($A26,FIND("|",$A26)-1)),3)),IFERROR(VALUE(LEFT(LOWER(LEFT($A26,FIND("|",$A26)-1)),2)),IFERROR(VALUE(LEFT(LOWER(LEFT($A26,FIND("|",$A26)-1)),1)),-1))),"0"))+1,99),LOWER(LEFT($A26,FIND("|",$A26)-1)))&amp;CHAR(9)&amp;TEXT(IF(SUBSTITUTE(MID($A26,FIND("|",$A26)+1,50),"'","")="",0,IFERROR(VALUE(SUBSTITUTE(MID($A26,FIND("|",$A26)+1,50),"'","")),999999)),"000000")&amp;CHAR(9)&amp;TEXT($B26,"0000"))</f>
        <v/>
      </c>
      <c r="E26" s="4">
        <f>IF($D26="","",SUMPRODUCT(($D$5:$D$364&lt;&gt;"")*($D$5:$D$364&lt;$D26))+1)</f>
        <v/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70">
      <c r="A27" s="4">
        <f t="array" ref="A27">IF(N(INDIRECT("'Pull Sheet'!C29"))&gt;0,INDIRECT("'Pull Sheet'!A29")&amp;"|"&amp;INDIRECT("'Pull Sheet'!B29"),"")</f>
        <v/>
      </c>
      <c r="B27" s="4">
        <f>IF(AND($A27&lt;&gt;"",COUNTIF($A$5:$A27,$A27)=1),MAX($B$4:$B26)+1,"")</f>
        <v/>
      </c>
      <c r="C27" s="4">
        <f t="array" ref="C27">IF($A27="","",N(INDIRECT("'Pull Sheet'!C29")))</f>
        <v/>
      </c>
      <c r="D27" s="4">
        <f>IF($B27="","",IF(IFERROR(VALUE(LEFT(LOWER(LEFT($A27,FIND("|",$A27)-1)),3)),IFERROR(VALUE(LEFT(LOWER(LEFT($A27,FIND("|",$A27)-1)),2)),IFERROR(VALUE(LEFT(LOWER(LEFT($A27,FIND("|",$A27)-1)),1)),-1)))&gt;=0,TEXT(IFERROR(VALUE(LEFT(LOWER(LEFT($A27,FIND("|",$A27)-1)),3)),IFERROR(VALUE(LEFT(LOWER(LEFT($A27,FIND("|",$A27)-1)),2)),IFERROR(VALUE(LEFT(LOWER(LEFT($A27,FIND("|",$A27)-1)),1)),-1))),"000000")&amp;MID(LOWER(LEFT($A27,FIND("|",$A27)-1)),LEN(TEXT(IFERROR(VALUE(LEFT(LOWER(LEFT($A27,FIND("|",$A27)-1)),3)),IFERROR(VALUE(LEFT(LOWER(LEFT($A27,FIND("|",$A27)-1)),2)),IFERROR(VALUE(LEFT(LOWER(LEFT($A27,FIND("|",$A27)-1)),1)),-1))),"0"))+1,99),LOWER(LEFT($A27,FIND("|",$A27)-1)))&amp;CHAR(9)&amp;TEXT(IF(SUBSTITUTE(MID($A27,FIND("|",$A27)+1,50),"'","")="",0,IFERROR(VALUE(SUBSTITUTE(MID($A27,FIND("|",$A27)+1,50),"'","")),999999)),"000000")&amp;CHAR(9)&amp;TEXT($B27,"0000"))</f>
        <v/>
      </c>
      <c r="E27" s="4">
        <f>IF($D27="","",SUMPRODUCT(($D$5:$D$364&lt;&gt;"")*($D$5:$D$364&lt;$D27))+1)</f>
        <v/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70">
      <c r="A28" s="4">
        <f t="array" ref="A28">IF(N(INDIRECT("'Pull Sheet'!C30"))&gt;0,INDIRECT("'Pull Sheet'!A30")&amp;"|"&amp;INDIRECT("'Pull Sheet'!B30"),"")</f>
        <v/>
      </c>
      <c r="B28" s="4">
        <f>IF(AND($A28&lt;&gt;"",COUNTIF($A$5:$A28,$A28)=1),MAX($B$4:$B27)+1,"")</f>
        <v/>
      </c>
      <c r="C28" s="4">
        <f t="array" ref="C28">IF($A28="","",N(INDIRECT("'Pull Sheet'!C30")))</f>
        <v/>
      </c>
      <c r="D28" s="4">
        <f>IF($B28="","",IF(IFERROR(VALUE(LEFT(LOWER(LEFT($A28,FIND("|",$A28)-1)),3)),IFERROR(VALUE(LEFT(LOWER(LEFT($A28,FIND("|",$A28)-1)),2)),IFERROR(VALUE(LEFT(LOWER(LEFT($A28,FIND("|",$A28)-1)),1)),-1)))&gt;=0,TEXT(IFERROR(VALUE(LEFT(LOWER(LEFT($A28,FIND("|",$A28)-1)),3)),IFERROR(VALUE(LEFT(LOWER(LEFT($A28,FIND("|",$A28)-1)),2)),IFERROR(VALUE(LEFT(LOWER(LEFT($A28,FIND("|",$A28)-1)),1)),-1))),"000000")&amp;MID(LOWER(LEFT($A28,FIND("|",$A28)-1)),LEN(TEXT(IFERROR(VALUE(LEFT(LOWER(LEFT($A28,FIND("|",$A28)-1)),3)),IFERROR(VALUE(LEFT(LOWER(LEFT($A28,FIND("|",$A28)-1)),2)),IFERROR(VALUE(LEFT(LOWER(LEFT($A28,FIND("|",$A28)-1)),1)),-1))),"0"))+1,99),LOWER(LEFT($A28,FIND("|",$A28)-1)))&amp;CHAR(9)&amp;TEXT(IF(SUBSTITUTE(MID($A28,FIND("|",$A28)+1,50),"'","")="",0,IFERROR(VALUE(SUBSTITUTE(MID($A28,FIND("|",$A28)+1,50),"'","")),999999)),"000000")&amp;CHAR(9)&amp;TEXT($B28,"0000"))</f>
        <v/>
      </c>
      <c r="E28" s="4">
        <f>IF($D28="","",SUMPRODUCT(($D$5:$D$364&lt;&gt;"")*($D$5:$D$364&lt;$D28))+1)</f>
        <v/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70">
      <c r="A29" s="4">
        <f t="array" ref="A29">IF(N(INDIRECT("'Pull Sheet'!C31"))&gt;0,INDIRECT("'Pull Sheet'!A31")&amp;"|"&amp;INDIRECT("'Pull Sheet'!B31"),"")</f>
        <v/>
      </c>
      <c r="B29" s="4">
        <f>IF(AND($A29&lt;&gt;"",COUNTIF($A$5:$A29,$A29)=1),MAX($B$4:$B28)+1,"")</f>
        <v/>
      </c>
      <c r="C29" s="4">
        <f t="array" ref="C29">IF($A29="","",N(INDIRECT("'Pull Sheet'!C31")))</f>
        <v/>
      </c>
      <c r="D29" s="4">
        <f>IF($B29="","",IF(IFERROR(VALUE(LEFT(LOWER(LEFT($A29,FIND("|",$A29)-1)),3)),IFERROR(VALUE(LEFT(LOWER(LEFT($A29,FIND("|",$A29)-1)),2)),IFERROR(VALUE(LEFT(LOWER(LEFT($A29,FIND("|",$A29)-1)),1)),-1)))&gt;=0,TEXT(IFERROR(VALUE(LEFT(LOWER(LEFT($A29,FIND("|",$A29)-1)),3)),IFERROR(VALUE(LEFT(LOWER(LEFT($A29,FIND("|",$A29)-1)),2)),IFERROR(VALUE(LEFT(LOWER(LEFT($A29,FIND("|",$A29)-1)),1)),-1))),"000000")&amp;MID(LOWER(LEFT($A29,FIND("|",$A29)-1)),LEN(TEXT(IFERROR(VALUE(LEFT(LOWER(LEFT($A29,FIND("|",$A29)-1)),3)),IFERROR(VALUE(LEFT(LOWER(LEFT($A29,FIND("|",$A29)-1)),2)),IFERROR(VALUE(LEFT(LOWER(LEFT($A29,FIND("|",$A29)-1)),1)),-1))),"0"))+1,99),LOWER(LEFT($A29,FIND("|",$A29)-1)))&amp;CHAR(9)&amp;TEXT(IF(SUBSTITUTE(MID($A29,FIND("|",$A29)+1,50),"'","")="",0,IFERROR(VALUE(SUBSTITUTE(MID($A29,FIND("|",$A29)+1,50),"'","")),999999)),"000000")&amp;CHAR(9)&amp;TEXT($B29,"0000"))</f>
        <v/>
      </c>
      <c r="E29" s="4">
        <f>IF($D29="","",SUMPRODUCT(($D$5:$D$364&lt;&gt;"")*($D$5:$D$364&lt;$D29))+1)</f>
        <v/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70">
      <c r="A30" s="4">
        <f t="array" ref="A30">IF(N(INDIRECT("'Pull Sheet'!C32"))&gt;0,INDIRECT("'Pull Sheet'!A32")&amp;"|"&amp;INDIRECT("'Pull Sheet'!B32"),"")</f>
        <v/>
      </c>
      <c r="B30" s="4">
        <f>IF(AND($A30&lt;&gt;"",COUNTIF($A$5:$A30,$A30)=1),MAX($B$4:$B29)+1,"")</f>
        <v/>
      </c>
      <c r="C30" s="4">
        <f t="array" ref="C30">IF($A30="","",N(INDIRECT("'Pull Sheet'!C32")))</f>
        <v/>
      </c>
      <c r="D30" s="4">
        <f>IF($B30="","",IF(IFERROR(VALUE(LEFT(LOWER(LEFT($A30,FIND("|",$A30)-1)),3)),IFERROR(VALUE(LEFT(LOWER(LEFT($A30,FIND("|",$A30)-1)),2)),IFERROR(VALUE(LEFT(LOWER(LEFT($A30,FIND("|",$A30)-1)),1)),-1)))&gt;=0,TEXT(IFERROR(VALUE(LEFT(LOWER(LEFT($A30,FIND("|",$A30)-1)),3)),IFERROR(VALUE(LEFT(LOWER(LEFT($A30,FIND("|",$A30)-1)),2)),IFERROR(VALUE(LEFT(LOWER(LEFT($A30,FIND("|",$A30)-1)),1)),-1))),"000000")&amp;MID(LOWER(LEFT($A30,FIND("|",$A30)-1)),LEN(TEXT(IFERROR(VALUE(LEFT(LOWER(LEFT($A30,FIND("|",$A30)-1)),3)),IFERROR(VALUE(LEFT(LOWER(LEFT($A30,FIND("|",$A30)-1)),2)),IFERROR(VALUE(LEFT(LOWER(LEFT($A30,FIND("|",$A30)-1)),1)),-1))),"0"))+1,99),LOWER(LEFT($A30,FIND("|",$A30)-1)))&amp;CHAR(9)&amp;TEXT(IF(SUBSTITUTE(MID($A30,FIND("|",$A30)+1,50),"'","")="",0,IFERROR(VALUE(SUBSTITUTE(MID($A30,FIND("|",$A30)+1,50),"'","")),999999)),"000000")&amp;CHAR(9)&amp;TEXT($B30,"0000"))</f>
        <v/>
      </c>
      <c r="E30" s="4">
        <f>IF($D30="","",SUMPRODUCT(($D$5:$D$364&lt;&gt;"")*($D$5:$D$364&lt;$D30))+1)</f>
        <v/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70">
      <c r="A31" s="4">
        <f t="array" ref="A31">IF(N(INDIRECT("'Pull Sheet'!C33"))&gt;0,INDIRECT("'Pull Sheet'!A33")&amp;"|"&amp;INDIRECT("'Pull Sheet'!B33"),"")</f>
        <v/>
      </c>
      <c r="B31" s="4">
        <f>IF(AND($A31&lt;&gt;"",COUNTIF($A$5:$A31,$A31)=1),MAX($B$4:$B30)+1,"")</f>
        <v/>
      </c>
      <c r="C31" s="4">
        <f t="array" ref="C31">IF($A31="","",N(INDIRECT("'Pull Sheet'!C33")))</f>
        <v/>
      </c>
      <c r="D31" s="4">
        <f>IF($B31="","",IF(IFERROR(VALUE(LEFT(LOWER(LEFT($A31,FIND("|",$A31)-1)),3)),IFERROR(VALUE(LEFT(LOWER(LEFT($A31,FIND("|",$A31)-1)),2)),IFERROR(VALUE(LEFT(LOWER(LEFT($A31,FIND("|",$A31)-1)),1)),-1)))&gt;=0,TEXT(IFERROR(VALUE(LEFT(LOWER(LEFT($A31,FIND("|",$A31)-1)),3)),IFERROR(VALUE(LEFT(LOWER(LEFT($A31,FIND("|",$A31)-1)),2)),IFERROR(VALUE(LEFT(LOWER(LEFT($A31,FIND("|",$A31)-1)),1)),-1))),"000000")&amp;MID(LOWER(LEFT($A31,FIND("|",$A31)-1)),LEN(TEXT(IFERROR(VALUE(LEFT(LOWER(LEFT($A31,FIND("|",$A31)-1)),3)),IFERROR(VALUE(LEFT(LOWER(LEFT($A31,FIND("|",$A31)-1)),2)),IFERROR(VALUE(LEFT(LOWER(LEFT($A31,FIND("|",$A31)-1)),1)),-1))),"0"))+1,99),LOWER(LEFT($A31,FIND("|",$A31)-1)))&amp;CHAR(9)&amp;TEXT(IF(SUBSTITUTE(MID($A31,FIND("|",$A31)+1,50),"'","")="",0,IFERROR(VALUE(SUBSTITUTE(MID($A31,FIND("|",$A31)+1,50),"'","")),999999)),"000000")&amp;CHAR(9)&amp;TEXT($B31,"0000"))</f>
        <v/>
      </c>
      <c r="E31" s="4">
        <f>IF($D31="","",SUMPRODUCT(($D$5:$D$364&lt;&gt;"")*($D$5:$D$364&lt;$D31))+1)</f>
        <v/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70">
      <c r="A32" s="4">
        <f t="array" ref="A32">IF(N(INDIRECT("'Pull Sheet'!C34"))&gt;0,INDIRECT("'Pull Sheet'!A34")&amp;"|"&amp;INDIRECT("'Pull Sheet'!B34"),"")</f>
        <v/>
      </c>
      <c r="B32" s="4">
        <f>IF(AND($A32&lt;&gt;"",COUNTIF($A$5:$A32,$A32)=1),MAX($B$4:$B31)+1,"")</f>
        <v/>
      </c>
      <c r="C32" s="4">
        <f t="array" ref="C32">IF($A32="","",N(INDIRECT("'Pull Sheet'!C34")))</f>
        <v/>
      </c>
      <c r="D32" s="4">
        <f>IF($B32="","",IF(IFERROR(VALUE(LEFT(LOWER(LEFT($A32,FIND("|",$A32)-1)),3)),IFERROR(VALUE(LEFT(LOWER(LEFT($A32,FIND("|",$A32)-1)),2)),IFERROR(VALUE(LEFT(LOWER(LEFT($A32,FIND("|",$A32)-1)),1)),-1)))&gt;=0,TEXT(IFERROR(VALUE(LEFT(LOWER(LEFT($A32,FIND("|",$A32)-1)),3)),IFERROR(VALUE(LEFT(LOWER(LEFT($A32,FIND("|",$A32)-1)),2)),IFERROR(VALUE(LEFT(LOWER(LEFT($A32,FIND("|",$A32)-1)),1)),-1))),"000000")&amp;MID(LOWER(LEFT($A32,FIND("|",$A32)-1)),LEN(TEXT(IFERROR(VALUE(LEFT(LOWER(LEFT($A32,FIND("|",$A32)-1)),3)),IFERROR(VALUE(LEFT(LOWER(LEFT($A32,FIND("|",$A32)-1)),2)),IFERROR(VALUE(LEFT(LOWER(LEFT($A32,FIND("|",$A32)-1)),1)),-1))),"0"))+1,99),LOWER(LEFT($A32,FIND("|",$A32)-1)))&amp;CHAR(9)&amp;TEXT(IF(SUBSTITUTE(MID($A32,FIND("|",$A32)+1,50),"'","")="",0,IFERROR(VALUE(SUBSTITUTE(MID($A32,FIND("|",$A32)+1,50),"'","")),999999)),"000000")&amp;CHAR(9)&amp;TEXT($B32,"0000"))</f>
        <v/>
      </c>
      <c r="E32" s="4">
        <f>IF($D32="","",SUMPRODUCT(($D$5:$D$364&lt;&gt;"")*($D$5:$D$364&lt;$D32))+1)</f>
        <v/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70">
      <c r="A33" s="4">
        <f t="array" ref="A33">IF(N(INDIRECT("'Pull Sheet'!C35"))&gt;0,INDIRECT("'Pull Sheet'!A35")&amp;"|"&amp;INDIRECT("'Pull Sheet'!B35"),"")</f>
        <v/>
      </c>
      <c r="B33" s="4">
        <f>IF(AND($A33&lt;&gt;"",COUNTIF($A$5:$A33,$A33)=1),MAX($B$4:$B32)+1,"")</f>
        <v/>
      </c>
      <c r="C33" s="4">
        <f t="array" ref="C33">IF($A33="","",N(INDIRECT("'Pull Sheet'!C35")))</f>
        <v/>
      </c>
      <c r="D33" s="4">
        <f>IF($B33="","",IF(IFERROR(VALUE(LEFT(LOWER(LEFT($A33,FIND("|",$A33)-1)),3)),IFERROR(VALUE(LEFT(LOWER(LEFT($A33,FIND("|",$A33)-1)),2)),IFERROR(VALUE(LEFT(LOWER(LEFT($A33,FIND("|",$A33)-1)),1)),-1)))&gt;=0,TEXT(IFERROR(VALUE(LEFT(LOWER(LEFT($A33,FIND("|",$A33)-1)),3)),IFERROR(VALUE(LEFT(LOWER(LEFT($A33,FIND("|",$A33)-1)),2)),IFERROR(VALUE(LEFT(LOWER(LEFT($A33,FIND("|",$A33)-1)),1)),-1))),"000000")&amp;MID(LOWER(LEFT($A33,FIND("|",$A33)-1)),LEN(TEXT(IFERROR(VALUE(LEFT(LOWER(LEFT($A33,FIND("|",$A33)-1)),3)),IFERROR(VALUE(LEFT(LOWER(LEFT($A33,FIND("|",$A33)-1)),2)),IFERROR(VALUE(LEFT(LOWER(LEFT($A33,FIND("|",$A33)-1)),1)),-1))),"0"))+1,99),LOWER(LEFT($A33,FIND("|",$A33)-1)))&amp;CHAR(9)&amp;TEXT(IF(SUBSTITUTE(MID($A33,FIND("|",$A33)+1,50),"'","")="",0,IFERROR(VALUE(SUBSTITUTE(MID($A33,FIND("|",$A33)+1,50),"'","")),999999)),"000000")&amp;CHAR(9)&amp;TEXT($B33,"0000"))</f>
        <v/>
      </c>
      <c r="E33" s="4">
        <f>IF($D33="","",SUMPRODUCT(($D$5:$D$364&lt;&gt;"")*($D$5:$D$364&lt;$D33))+1)</f>
        <v/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70">
      <c r="A34" s="4">
        <f t="array" ref="A34">IF(N(INDIRECT("'Pull Sheet'!C36"))&gt;0,INDIRECT("'Pull Sheet'!A36")&amp;"|"&amp;INDIRECT("'Pull Sheet'!B36"),"")</f>
        <v/>
      </c>
      <c r="B34" s="4">
        <f>IF(AND($A34&lt;&gt;"",COUNTIF($A$5:$A34,$A34)=1),MAX($B$4:$B33)+1,"")</f>
        <v/>
      </c>
      <c r="C34" s="4">
        <f t="array" ref="C34">IF($A34="","",N(INDIRECT("'Pull Sheet'!C36")))</f>
        <v/>
      </c>
      <c r="D34" s="4">
        <f>IF($B34="","",IF(IFERROR(VALUE(LEFT(LOWER(LEFT($A34,FIND("|",$A34)-1)),3)),IFERROR(VALUE(LEFT(LOWER(LEFT($A34,FIND("|",$A34)-1)),2)),IFERROR(VALUE(LEFT(LOWER(LEFT($A34,FIND("|",$A34)-1)),1)),-1)))&gt;=0,TEXT(IFERROR(VALUE(LEFT(LOWER(LEFT($A34,FIND("|",$A34)-1)),3)),IFERROR(VALUE(LEFT(LOWER(LEFT($A34,FIND("|",$A34)-1)),2)),IFERROR(VALUE(LEFT(LOWER(LEFT($A34,FIND("|",$A34)-1)),1)),-1))),"000000")&amp;MID(LOWER(LEFT($A34,FIND("|",$A34)-1)),LEN(TEXT(IFERROR(VALUE(LEFT(LOWER(LEFT($A34,FIND("|",$A34)-1)),3)),IFERROR(VALUE(LEFT(LOWER(LEFT($A34,FIND("|",$A34)-1)),2)),IFERROR(VALUE(LEFT(LOWER(LEFT($A34,FIND("|",$A34)-1)),1)),-1))),"0"))+1,99),LOWER(LEFT($A34,FIND("|",$A34)-1)))&amp;CHAR(9)&amp;TEXT(IF(SUBSTITUTE(MID($A34,FIND("|",$A34)+1,50),"'","")="",0,IFERROR(VALUE(SUBSTITUTE(MID($A34,FIND("|",$A34)+1,50),"'","")),999999)),"000000")&amp;CHAR(9)&amp;TEXT($B34,"0000"))</f>
        <v/>
      </c>
      <c r="E34" s="4">
        <f>IF($D34="","",SUMPRODUCT(($D$5:$D$364&lt;&gt;"")*($D$5:$D$364&lt;$D34))+1)</f>
        <v/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70">
      <c r="A35" s="4">
        <f t="array" ref="A35">IF(N(INDIRECT("'Pull Sheet'!C37"))&gt;0,INDIRECT("'Pull Sheet'!A37")&amp;"|"&amp;INDIRECT("'Pull Sheet'!B37"),"")</f>
        <v/>
      </c>
      <c r="B35" s="4">
        <f>IF(AND($A35&lt;&gt;"",COUNTIF($A$5:$A35,$A35)=1),MAX($B$4:$B34)+1,"")</f>
        <v/>
      </c>
      <c r="C35" s="4">
        <f t="array" ref="C35">IF($A35="","",N(INDIRECT("'Pull Sheet'!C37")))</f>
        <v/>
      </c>
      <c r="D35" s="4">
        <f>IF($B35="","",IF(IFERROR(VALUE(LEFT(LOWER(LEFT($A35,FIND("|",$A35)-1)),3)),IFERROR(VALUE(LEFT(LOWER(LEFT($A35,FIND("|",$A35)-1)),2)),IFERROR(VALUE(LEFT(LOWER(LEFT($A35,FIND("|",$A35)-1)),1)),-1)))&gt;=0,TEXT(IFERROR(VALUE(LEFT(LOWER(LEFT($A35,FIND("|",$A35)-1)),3)),IFERROR(VALUE(LEFT(LOWER(LEFT($A35,FIND("|",$A35)-1)),2)),IFERROR(VALUE(LEFT(LOWER(LEFT($A35,FIND("|",$A35)-1)),1)),-1))),"000000")&amp;MID(LOWER(LEFT($A35,FIND("|",$A35)-1)),LEN(TEXT(IFERROR(VALUE(LEFT(LOWER(LEFT($A35,FIND("|",$A35)-1)),3)),IFERROR(VALUE(LEFT(LOWER(LEFT($A35,FIND("|",$A35)-1)),2)),IFERROR(VALUE(LEFT(LOWER(LEFT($A35,FIND("|",$A35)-1)),1)),-1))),"0"))+1,99),LOWER(LEFT($A35,FIND("|",$A35)-1)))&amp;CHAR(9)&amp;TEXT(IF(SUBSTITUTE(MID($A35,FIND("|",$A35)+1,50),"'","")="",0,IFERROR(VALUE(SUBSTITUTE(MID($A35,FIND("|",$A35)+1,50),"'","")),999999)),"000000")&amp;CHAR(9)&amp;TEXT($B35,"0000"))</f>
        <v/>
      </c>
      <c r="E35" s="4">
        <f>IF($D35="","",SUMPRODUCT(($D$5:$D$364&lt;&gt;"")*($D$5:$D$364&lt;$D35))+1)</f>
        <v/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70">
      <c r="A36" s="4">
        <f t="array" ref="A36">IF(N(INDIRECT("'Pull Sheet'!C38"))&gt;0,INDIRECT("'Pull Sheet'!A38")&amp;"|"&amp;INDIRECT("'Pull Sheet'!B38"),"")</f>
        <v/>
      </c>
      <c r="B36" s="4">
        <f>IF(AND($A36&lt;&gt;"",COUNTIF($A$5:$A36,$A36)=1),MAX($B$4:$B35)+1,"")</f>
        <v/>
      </c>
      <c r="C36" s="4">
        <f t="array" ref="C36">IF($A36="","",N(INDIRECT("'Pull Sheet'!C38")))</f>
        <v/>
      </c>
      <c r="D36" s="4">
        <f>IF($B36="","",IF(IFERROR(VALUE(LEFT(LOWER(LEFT($A36,FIND("|",$A36)-1)),3)),IFERROR(VALUE(LEFT(LOWER(LEFT($A36,FIND("|",$A36)-1)),2)),IFERROR(VALUE(LEFT(LOWER(LEFT($A36,FIND("|",$A36)-1)),1)),-1)))&gt;=0,TEXT(IFERROR(VALUE(LEFT(LOWER(LEFT($A36,FIND("|",$A36)-1)),3)),IFERROR(VALUE(LEFT(LOWER(LEFT($A36,FIND("|",$A36)-1)),2)),IFERROR(VALUE(LEFT(LOWER(LEFT($A36,FIND("|",$A36)-1)),1)),-1))),"000000")&amp;MID(LOWER(LEFT($A36,FIND("|",$A36)-1)),LEN(TEXT(IFERROR(VALUE(LEFT(LOWER(LEFT($A36,FIND("|",$A36)-1)),3)),IFERROR(VALUE(LEFT(LOWER(LEFT($A36,FIND("|",$A36)-1)),2)),IFERROR(VALUE(LEFT(LOWER(LEFT($A36,FIND("|",$A36)-1)),1)),-1))),"0"))+1,99),LOWER(LEFT($A36,FIND("|",$A36)-1)))&amp;CHAR(9)&amp;TEXT(IF(SUBSTITUTE(MID($A36,FIND("|",$A36)+1,50),"'","")="",0,IFERROR(VALUE(SUBSTITUTE(MID($A36,FIND("|",$A36)+1,50),"'","")),999999)),"000000")&amp;CHAR(9)&amp;TEXT($B36,"0000"))</f>
        <v/>
      </c>
      <c r="E36" s="4">
        <f>IF($D36="","",SUMPRODUCT(($D$5:$D$364&lt;&gt;"")*($D$5:$D$364&lt;$D36))+1)</f>
        <v/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70">
      <c r="A37" s="4">
        <f t="array" ref="A37">IF(N(INDIRECT("'Pull Sheet'!C39"))&gt;0,INDIRECT("'Pull Sheet'!A39")&amp;"|"&amp;INDIRECT("'Pull Sheet'!B39"),"")</f>
        <v/>
      </c>
      <c r="B37" s="4">
        <f>IF(AND($A37&lt;&gt;"",COUNTIF($A$5:$A37,$A37)=1),MAX($B$4:$B36)+1,"")</f>
        <v/>
      </c>
      <c r="C37" s="4">
        <f t="array" ref="C37">IF($A37="","",N(INDIRECT("'Pull Sheet'!C39")))</f>
        <v/>
      </c>
      <c r="D37" s="4">
        <f>IF($B37="","",IF(IFERROR(VALUE(LEFT(LOWER(LEFT($A37,FIND("|",$A37)-1)),3)),IFERROR(VALUE(LEFT(LOWER(LEFT($A37,FIND("|",$A37)-1)),2)),IFERROR(VALUE(LEFT(LOWER(LEFT($A37,FIND("|",$A37)-1)),1)),-1)))&gt;=0,TEXT(IFERROR(VALUE(LEFT(LOWER(LEFT($A37,FIND("|",$A37)-1)),3)),IFERROR(VALUE(LEFT(LOWER(LEFT($A37,FIND("|",$A37)-1)),2)),IFERROR(VALUE(LEFT(LOWER(LEFT($A37,FIND("|",$A37)-1)),1)),-1))),"000000")&amp;MID(LOWER(LEFT($A37,FIND("|",$A37)-1)),LEN(TEXT(IFERROR(VALUE(LEFT(LOWER(LEFT($A37,FIND("|",$A37)-1)),3)),IFERROR(VALUE(LEFT(LOWER(LEFT($A37,FIND("|",$A37)-1)),2)),IFERROR(VALUE(LEFT(LOWER(LEFT($A37,FIND("|",$A37)-1)),1)),-1))),"0"))+1,99),LOWER(LEFT($A37,FIND("|",$A37)-1)))&amp;CHAR(9)&amp;TEXT(IF(SUBSTITUTE(MID($A37,FIND("|",$A37)+1,50),"'","")="",0,IFERROR(VALUE(SUBSTITUTE(MID($A37,FIND("|",$A37)+1,50),"'","")),999999)),"000000")&amp;CHAR(9)&amp;TEXT($B37,"0000"))</f>
        <v/>
      </c>
      <c r="E37" s="4">
        <f>IF($D37="","",SUMPRODUCT(($D$5:$D$364&lt;&gt;"")*($D$5:$D$364&lt;$D37))+1)</f>
        <v/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70">
      <c r="A38" s="4">
        <f t="array" ref="A38">IF(N(INDIRECT("'Pull Sheet'!C40"))&gt;0,INDIRECT("'Pull Sheet'!A40")&amp;"|"&amp;INDIRECT("'Pull Sheet'!B40"),"")</f>
        <v/>
      </c>
      <c r="B38" s="4">
        <f>IF(AND($A38&lt;&gt;"",COUNTIF($A$5:$A38,$A38)=1),MAX($B$4:$B37)+1,"")</f>
        <v/>
      </c>
      <c r="C38" s="4">
        <f t="array" ref="C38">IF($A38="","",N(INDIRECT("'Pull Sheet'!C40")))</f>
        <v/>
      </c>
      <c r="D38" s="4">
        <f>IF($B38="","",IF(IFERROR(VALUE(LEFT(LOWER(LEFT($A38,FIND("|",$A38)-1)),3)),IFERROR(VALUE(LEFT(LOWER(LEFT($A38,FIND("|",$A38)-1)),2)),IFERROR(VALUE(LEFT(LOWER(LEFT($A38,FIND("|",$A38)-1)),1)),-1)))&gt;=0,TEXT(IFERROR(VALUE(LEFT(LOWER(LEFT($A38,FIND("|",$A38)-1)),3)),IFERROR(VALUE(LEFT(LOWER(LEFT($A38,FIND("|",$A38)-1)),2)),IFERROR(VALUE(LEFT(LOWER(LEFT($A38,FIND("|",$A38)-1)),1)),-1))),"000000")&amp;MID(LOWER(LEFT($A38,FIND("|",$A38)-1)),LEN(TEXT(IFERROR(VALUE(LEFT(LOWER(LEFT($A38,FIND("|",$A38)-1)),3)),IFERROR(VALUE(LEFT(LOWER(LEFT($A38,FIND("|",$A38)-1)),2)),IFERROR(VALUE(LEFT(LOWER(LEFT($A38,FIND("|",$A38)-1)),1)),-1))),"0"))+1,99),LOWER(LEFT($A38,FIND("|",$A38)-1)))&amp;CHAR(9)&amp;TEXT(IF(SUBSTITUTE(MID($A38,FIND("|",$A38)+1,50),"'","")="",0,IFERROR(VALUE(SUBSTITUTE(MID($A38,FIND("|",$A38)+1,50),"'","")),999999)),"000000")&amp;CHAR(9)&amp;TEXT($B38,"0000"))</f>
        <v/>
      </c>
      <c r="E38" s="4">
        <f>IF($D38="","",SUMPRODUCT(($D$5:$D$364&lt;&gt;"")*($D$5:$D$364&lt;$D38))+1)</f>
        <v/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70">
      <c r="A39" s="4">
        <f t="array" ref="A39">IF(N(INDIRECT("'Pull Sheet'!C41"))&gt;0,INDIRECT("'Pull Sheet'!A41")&amp;"|"&amp;INDIRECT("'Pull Sheet'!B41"),"")</f>
        <v/>
      </c>
      <c r="B39" s="4">
        <f>IF(AND($A39&lt;&gt;"",COUNTIF($A$5:$A39,$A39)=1),MAX($B$4:$B38)+1,"")</f>
        <v/>
      </c>
      <c r="C39" s="4">
        <f t="array" ref="C39">IF($A39="","",N(INDIRECT("'Pull Sheet'!C41")))</f>
        <v/>
      </c>
      <c r="D39" s="4">
        <f>IF($B39="","",IF(IFERROR(VALUE(LEFT(LOWER(LEFT($A39,FIND("|",$A39)-1)),3)),IFERROR(VALUE(LEFT(LOWER(LEFT($A39,FIND("|",$A39)-1)),2)),IFERROR(VALUE(LEFT(LOWER(LEFT($A39,FIND("|",$A39)-1)),1)),-1)))&gt;=0,TEXT(IFERROR(VALUE(LEFT(LOWER(LEFT($A39,FIND("|",$A39)-1)),3)),IFERROR(VALUE(LEFT(LOWER(LEFT($A39,FIND("|",$A39)-1)),2)),IFERROR(VALUE(LEFT(LOWER(LEFT($A39,FIND("|",$A39)-1)),1)),-1))),"000000")&amp;MID(LOWER(LEFT($A39,FIND("|",$A39)-1)),LEN(TEXT(IFERROR(VALUE(LEFT(LOWER(LEFT($A39,FIND("|",$A39)-1)),3)),IFERROR(VALUE(LEFT(LOWER(LEFT($A39,FIND("|",$A39)-1)),2)),IFERROR(VALUE(LEFT(LOWER(LEFT($A39,FIND("|",$A39)-1)),1)),-1))),"0"))+1,99),LOWER(LEFT($A39,FIND("|",$A39)-1)))&amp;CHAR(9)&amp;TEXT(IF(SUBSTITUTE(MID($A39,FIND("|",$A39)+1,50),"'","")="",0,IFERROR(VALUE(SUBSTITUTE(MID($A39,FIND("|",$A39)+1,50),"'","")),999999)),"000000")&amp;CHAR(9)&amp;TEXT($B39,"0000"))</f>
        <v/>
      </c>
      <c r="E39" s="4">
        <f>IF($D39="","",SUMPRODUCT(($D$5:$D$364&lt;&gt;"")*($D$5:$D$364&lt;$D39))+1)</f>
        <v/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70">
      <c r="A40" s="4">
        <f t="array" ref="A40">IF(N(INDIRECT("'Pull Sheet'!C42"))&gt;0,INDIRECT("'Pull Sheet'!A42")&amp;"|"&amp;INDIRECT("'Pull Sheet'!B42"),"")</f>
        <v/>
      </c>
      <c r="B40" s="4">
        <f>IF(AND($A40&lt;&gt;"",COUNTIF($A$5:$A40,$A40)=1),MAX($B$4:$B39)+1,"")</f>
        <v/>
      </c>
      <c r="C40" s="4">
        <f t="array" ref="C40">IF($A40="","",N(INDIRECT("'Pull Sheet'!C42")))</f>
        <v/>
      </c>
      <c r="D40" s="4">
        <f>IF($B40="","",IF(IFERROR(VALUE(LEFT(LOWER(LEFT($A40,FIND("|",$A40)-1)),3)),IFERROR(VALUE(LEFT(LOWER(LEFT($A40,FIND("|",$A40)-1)),2)),IFERROR(VALUE(LEFT(LOWER(LEFT($A40,FIND("|",$A40)-1)),1)),-1)))&gt;=0,TEXT(IFERROR(VALUE(LEFT(LOWER(LEFT($A40,FIND("|",$A40)-1)),3)),IFERROR(VALUE(LEFT(LOWER(LEFT($A40,FIND("|",$A40)-1)),2)),IFERROR(VALUE(LEFT(LOWER(LEFT($A40,FIND("|",$A40)-1)),1)),-1))),"000000")&amp;MID(LOWER(LEFT($A40,FIND("|",$A40)-1)),LEN(TEXT(IFERROR(VALUE(LEFT(LOWER(LEFT($A40,FIND("|",$A40)-1)),3)),IFERROR(VALUE(LEFT(LOWER(LEFT($A40,FIND("|",$A40)-1)),2)),IFERROR(VALUE(LEFT(LOWER(LEFT($A40,FIND("|",$A40)-1)),1)),-1))),"0"))+1,99),LOWER(LEFT($A40,FIND("|",$A40)-1)))&amp;CHAR(9)&amp;TEXT(IF(SUBSTITUTE(MID($A40,FIND("|",$A40)+1,50),"'","")="",0,IFERROR(VALUE(SUBSTITUTE(MID($A40,FIND("|",$A40)+1,50),"'","")),999999)),"000000")&amp;CHAR(9)&amp;TEXT($B40,"0000"))</f>
        <v/>
      </c>
      <c r="E40" s="4">
        <f>IF($D40="","",SUMPRODUCT(($D$5:$D$364&lt;&gt;"")*($D$5:$D$364&lt;$D40))+1)</f>
        <v/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70">
      <c r="A41" s="4">
        <f t="array" ref="A41">IF(N(INDIRECT("'Pull Sheet'!C43"))&gt;0,INDIRECT("'Pull Sheet'!A43")&amp;"|"&amp;INDIRECT("'Pull Sheet'!B43"),"")</f>
        <v/>
      </c>
      <c r="B41" s="4">
        <f>IF(AND($A41&lt;&gt;"",COUNTIF($A$5:$A41,$A41)=1),MAX($B$4:$B40)+1,"")</f>
        <v/>
      </c>
      <c r="C41" s="4">
        <f t="array" ref="C41">IF($A41="","",N(INDIRECT("'Pull Sheet'!C43")))</f>
        <v/>
      </c>
      <c r="D41" s="4">
        <f>IF($B41="","",IF(IFERROR(VALUE(LEFT(LOWER(LEFT($A41,FIND("|",$A41)-1)),3)),IFERROR(VALUE(LEFT(LOWER(LEFT($A41,FIND("|",$A41)-1)),2)),IFERROR(VALUE(LEFT(LOWER(LEFT($A41,FIND("|",$A41)-1)),1)),-1)))&gt;=0,TEXT(IFERROR(VALUE(LEFT(LOWER(LEFT($A41,FIND("|",$A41)-1)),3)),IFERROR(VALUE(LEFT(LOWER(LEFT($A41,FIND("|",$A41)-1)),2)),IFERROR(VALUE(LEFT(LOWER(LEFT($A41,FIND("|",$A41)-1)),1)),-1))),"000000")&amp;MID(LOWER(LEFT($A41,FIND("|",$A41)-1)),LEN(TEXT(IFERROR(VALUE(LEFT(LOWER(LEFT($A41,FIND("|",$A41)-1)),3)),IFERROR(VALUE(LEFT(LOWER(LEFT($A41,FIND("|",$A41)-1)),2)),IFERROR(VALUE(LEFT(LOWER(LEFT($A41,FIND("|",$A41)-1)),1)),-1))),"0"))+1,99),LOWER(LEFT($A41,FIND("|",$A41)-1)))&amp;CHAR(9)&amp;TEXT(IF(SUBSTITUTE(MID($A41,FIND("|",$A41)+1,50),"'","")="",0,IFERROR(VALUE(SUBSTITUTE(MID($A41,FIND("|",$A41)+1,50),"'","")),999999)),"000000")&amp;CHAR(9)&amp;TEXT($B41,"0000"))</f>
        <v/>
      </c>
      <c r="E41" s="4">
        <f>IF($D41="","",SUMPRODUCT(($D$5:$D$364&lt;&gt;"")*($D$5:$D$364&lt;$D41))+1)</f>
        <v/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70">
      <c r="A42" s="4">
        <f t="array" ref="A42">IF(N(INDIRECT("'Pull Sheet'!C44"))&gt;0,INDIRECT("'Pull Sheet'!A44")&amp;"|"&amp;INDIRECT("'Pull Sheet'!B44"),"")</f>
        <v/>
      </c>
      <c r="B42" s="4">
        <f>IF(AND($A42&lt;&gt;"",COUNTIF($A$5:$A42,$A42)=1),MAX($B$4:$B41)+1,"")</f>
        <v/>
      </c>
      <c r="C42" s="4">
        <f t="array" ref="C42">IF($A42="","",N(INDIRECT("'Pull Sheet'!C44")))</f>
        <v/>
      </c>
      <c r="D42" s="4">
        <f>IF($B42="","",IF(IFERROR(VALUE(LEFT(LOWER(LEFT($A42,FIND("|",$A42)-1)),3)),IFERROR(VALUE(LEFT(LOWER(LEFT($A42,FIND("|",$A42)-1)),2)),IFERROR(VALUE(LEFT(LOWER(LEFT($A42,FIND("|",$A42)-1)),1)),-1)))&gt;=0,TEXT(IFERROR(VALUE(LEFT(LOWER(LEFT($A42,FIND("|",$A42)-1)),3)),IFERROR(VALUE(LEFT(LOWER(LEFT($A42,FIND("|",$A42)-1)),2)),IFERROR(VALUE(LEFT(LOWER(LEFT($A42,FIND("|",$A42)-1)),1)),-1))),"000000")&amp;MID(LOWER(LEFT($A42,FIND("|",$A42)-1)),LEN(TEXT(IFERROR(VALUE(LEFT(LOWER(LEFT($A42,FIND("|",$A42)-1)),3)),IFERROR(VALUE(LEFT(LOWER(LEFT($A42,FIND("|",$A42)-1)),2)),IFERROR(VALUE(LEFT(LOWER(LEFT($A42,FIND("|",$A42)-1)),1)),-1))),"0"))+1,99),LOWER(LEFT($A42,FIND("|",$A42)-1)))&amp;CHAR(9)&amp;TEXT(IF(SUBSTITUTE(MID($A42,FIND("|",$A42)+1,50),"'","")="",0,IFERROR(VALUE(SUBSTITUTE(MID($A42,FIND("|",$A42)+1,50),"'","")),999999)),"000000")&amp;CHAR(9)&amp;TEXT($B42,"0000"))</f>
        <v/>
      </c>
      <c r="E42" s="4">
        <f>IF($D42="","",SUMPRODUCT(($D$5:$D$364&lt;&gt;"")*($D$5:$D$364&lt;$D42))+1)</f>
        <v/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70">
      <c r="A43" s="4">
        <f t="array" ref="A43">IF(N(INDIRECT("'Pull Sheet'!C45"))&gt;0,INDIRECT("'Pull Sheet'!A45")&amp;"|"&amp;INDIRECT("'Pull Sheet'!B45"),"")</f>
        <v/>
      </c>
      <c r="B43" s="4">
        <f>IF(AND($A43&lt;&gt;"",COUNTIF($A$5:$A43,$A43)=1),MAX($B$4:$B42)+1,"")</f>
        <v/>
      </c>
      <c r="C43" s="4">
        <f t="array" ref="C43">IF($A43="","",N(INDIRECT("'Pull Sheet'!C45")))</f>
        <v/>
      </c>
      <c r="D43" s="4">
        <f>IF($B43="","",IF(IFERROR(VALUE(LEFT(LOWER(LEFT($A43,FIND("|",$A43)-1)),3)),IFERROR(VALUE(LEFT(LOWER(LEFT($A43,FIND("|",$A43)-1)),2)),IFERROR(VALUE(LEFT(LOWER(LEFT($A43,FIND("|",$A43)-1)),1)),-1)))&gt;=0,TEXT(IFERROR(VALUE(LEFT(LOWER(LEFT($A43,FIND("|",$A43)-1)),3)),IFERROR(VALUE(LEFT(LOWER(LEFT($A43,FIND("|",$A43)-1)),2)),IFERROR(VALUE(LEFT(LOWER(LEFT($A43,FIND("|",$A43)-1)),1)),-1))),"000000")&amp;MID(LOWER(LEFT($A43,FIND("|",$A43)-1)),LEN(TEXT(IFERROR(VALUE(LEFT(LOWER(LEFT($A43,FIND("|",$A43)-1)),3)),IFERROR(VALUE(LEFT(LOWER(LEFT($A43,FIND("|",$A43)-1)),2)),IFERROR(VALUE(LEFT(LOWER(LEFT($A43,FIND("|",$A43)-1)),1)),-1))),"0"))+1,99),LOWER(LEFT($A43,FIND("|",$A43)-1)))&amp;CHAR(9)&amp;TEXT(IF(SUBSTITUTE(MID($A43,FIND("|",$A43)+1,50),"'","")="",0,IFERROR(VALUE(SUBSTITUTE(MID($A43,FIND("|",$A43)+1,50),"'","")),999999)),"000000")&amp;CHAR(9)&amp;TEXT($B43,"0000"))</f>
        <v/>
      </c>
      <c r="E43" s="4">
        <f>IF($D43="","",SUMPRODUCT(($D$5:$D$364&lt;&gt;"")*($D$5:$D$364&lt;$D43))+1)</f>
        <v/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70">
      <c r="A44" s="4">
        <f t="array" ref="A44">IF(N(INDIRECT("'Pull Sheet'!C46"))&gt;0,INDIRECT("'Pull Sheet'!A46")&amp;"|"&amp;INDIRECT("'Pull Sheet'!B46"),"")</f>
        <v/>
      </c>
      <c r="B44" s="4">
        <f>IF(AND($A44&lt;&gt;"",COUNTIF($A$5:$A44,$A44)=1),MAX($B$4:$B43)+1,"")</f>
        <v/>
      </c>
      <c r="C44" s="4">
        <f t="array" ref="C44">IF($A44="","",N(INDIRECT("'Pull Sheet'!C46")))</f>
        <v/>
      </c>
      <c r="D44" s="4">
        <f>IF($B44="","",IF(IFERROR(VALUE(LEFT(LOWER(LEFT($A44,FIND("|",$A44)-1)),3)),IFERROR(VALUE(LEFT(LOWER(LEFT($A44,FIND("|",$A44)-1)),2)),IFERROR(VALUE(LEFT(LOWER(LEFT($A44,FIND("|",$A44)-1)),1)),-1)))&gt;=0,TEXT(IFERROR(VALUE(LEFT(LOWER(LEFT($A44,FIND("|",$A44)-1)),3)),IFERROR(VALUE(LEFT(LOWER(LEFT($A44,FIND("|",$A44)-1)),2)),IFERROR(VALUE(LEFT(LOWER(LEFT($A44,FIND("|",$A44)-1)),1)),-1))),"000000")&amp;MID(LOWER(LEFT($A44,FIND("|",$A44)-1)),LEN(TEXT(IFERROR(VALUE(LEFT(LOWER(LEFT($A44,FIND("|",$A44)-1)),3)),IFERROR(VALUE(LEFT(LOWER(LEFT($A44,FIND("|",$A44)-1)),2)),IFERROR(VALUE(LEFT(LOWER(LEFT($A44,FIND("|",$A44)-1)),1)),-1))),"0"))+1,99),LOWER(LEFT($A44,FIND("|",$A44)-1)))&amp;CHAR(9)&amp;TEXT(IF(SUBSTITUTE(MID($A44,FIND("|",$A44)+1,50),"'","")="",0,IFERROR(VALUE(SUBSTITUTE(MID($A44,FIND("|",$A44)+1,50),"'","")),999999)),"000000")&amp;CHAR(9)&amp;TEXT($B44,"0000"))</f>
        <v/>
      </c>
      <c r="E44" s="4">
        <f>IF($D44="","",SUMPRODUCT(($D$5:$D$364&lt;&gt;"")*($D$5:$D$364&lt;$D44))+1)</f>
        <v/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70">
      <c r="A45" s="4">
        <f t="array" ref="A45">IF(N(INDIRECT("'Pull Sheet'!C47"))&gt;0,INDIRECT("'Pull Sheet'!A47")&amp;"|"&amp;INDIRECT("'Pull Sheet'!B47"),"")</f>
        <v/>
      </c>
      <c r="B45" s="4">
        <f>IF(AND($A45&lt;&gt;"",COUNTIF($A$5:$A45,$A45)=1),MAX($B$4:$B44)+1,"")</f>
        <v/>
      </c>
      <c r="C45" s="4">
        <f t="array" ref="C45">IF($A45="","",N(INDIRECT("'Pull Sheet'!C47")))</f>
        <v/>
      </c>
      <c r="D45" s="4">
        <f>IF($B45="","",IF(IFERROR(VALUE(LEFT(LOWER(LEFT($A45,FIND("|",$A45)-1)),3)),IFERROR(VALUE(LEFT(LOWER(LEFT($A45,FIND("|",$A45)-1)),2)),IFERROR(VALUE(LEFT(LOWER(LEFT($A45,FIND("|",$A45)-1)),1)),-1)))&gt;=0,TEXT(IFERROR(VALUE(LEFT(LOWER(LEFT($A45,FIND("|",$A45)-1)),3)),IFERROR(VALUE(LEFT(LOWER(LEFT($A45,FIND("|",$A45)-1)),2)),IFERROR(VALUE(LEFT(LOWER(LEFT($A45,FIND("|",$A45)-1)),1)),-1))),"000000")&amp;MID(LOWER(LEFT($A45,FIND("|",$A45)-1)),LEN(TEXT(IFERROR(VALUE(LEFT(LOWER(LEFT($A45,FIND("|",$A45)-1)),3)),IFERROR(VALUE(LEFT(LOWER(LEFT($A45,FIND("|",$A45)-1)),2)),IFERROR(VALUE(LEFT(LOWER(LEFT($A45,FIND("|",$A45)-1)),1)),-1))),"0"))+1,99),LOWER(LEFT($A45,FIND("|",$A45)-1)))&amp;CHAR(9)&amp;TEXT(IF(SUBSTITUTE(MID($A45,FIND("|",$A45)+1,50),"'","")="",0,IFERROR(VALUE(SUBSTITUTE(MID($A45,FIND("|",$A45)+1,50),"'","")),999999)),"000000")&amp;CHAR(9)&amp;TEXT($B45,"0000"))</f>
        <v/>
      </c>
      <c r="E45" s="4">
        <f>IF($D45="","",SUMPRODUCT(($D$5:$D$364&lt;&gt;"")*($D$5:$D$364&lt;$D45))+1)</f>
        <v/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70">
      <c r="A46" s="4">
        <f t="array" ref="A46">IF(N(INDIRECT("'Pull Sheet'!C48"))&gt;0,INDIRECT("'Pull Sheet'!A48")&amp;"|"&amp;INDIRECT("'Pull Sheet'!B48"),"")</f>
        <v/>
      </c>
      <c r="B46" s="4">
        <f>IF(AND($A46&lt;&gt;"",COUNTIF($A$5:$A46,$A46)=1),MAX($B$4:$B45)+1,"")</f>
        <v/>
      </c>
      <c r="C46" s="4">
        <f t="array" ref="C46">IF($A46="","",N(INDIRECT("'Pull Sheet'!C48")))</f>
        <v/>
      </c>
      <c r="D46" s="4">
        <f>IF($B46="","",IF(IFERROR(VALUE(LEFT(LOWER(LEFT($A46,FIND("|",$A46)-1)),3)),IFERROR(VALUE(LEFT(LOWER(LEFT($A46,FIND("|",$A46)-1)),2)),IFERROR(VALUE(LEFT(LOWER(LEFT($A46,FIND("|",$A46)-1)),1)),-1)))&gt;=0,TEXT(IFERROR(VALUE(LEFT(LOWER(LEFT($A46,FIND("|",$A46)-1)),3)),IFERROR(VALUE(LEFT(LOWER(LEFT($A46,FIND("|",$A46)-1)),2)),IFERROR(VALUE(LEFT(LOWER(LEFT($A46,FIND("|",$A46)-1)),1)),-1))),"000000")&amp;MID(LOWER(LEFT($A46,FIND("|",$A46)-1)),LEN(TEXT(IFERROR(VALUE(LEFT(LOWER(LEFT($A46,FIND("|",$A46)-1)),3)),IFERROR(VALUE(LEFT(LOWER(LEFT($A46,FIND("|",$A46)-1)),2)),IFERROR(VALUE(LEFT(LOWER(LEFT($A46,FIND("|",$A46)-1)),1)),-1))),"0"))+1,99),LOWER(LEFT($A46,FIND("|",$A46)-1)))&amp;CHAR(9)&amp;TEXT(IF(SUBSTITUTE(MID($A46,FIND("|",$A46)+1,50),"'","")="",0,IFERROR(VALUE(SUBSTITUTE(MID($A46,FIND("|",$A46)+1,50),"'","")),999999)),"000000")&amp;CHAR(9)&amp;TEXT($B46,"0000"))</f>
        <v/>
      </c>
      <c r="E46" s="4">
        <f>IF($D46="","",SUMPRODUCT(($D$5:$D$364&lt;&gt;"")*($D$5:$D$364&lt;$D46))+1)</f>
        <v/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70">
      <c r="A47" s="4">
        <f t="array" ref="A47">IF(N(INDIRECT("'Pull Sheet'!C49"))&gt;0,INDIRECT("'Pull Sheet'!A49")&amp;"|"&amp;INDIRECT("'Pull Sheet'!B49"),"")</f>
        <v/>
      </c>
      <c r="B47" s="4">
        <f>IF(AND($A47&lt;&gt;"",COUNTIF($A$5:$A47,$A47)=1),MAX($B$4:$B46)+1,"")</f>
        <v/>
      </c>
      <c r="C47" s="4">
        <f t="array" ref="C47">IF($A47="","",N(INDIRECT("'Pull Sheet'!C49")))</f>
        <v/>
      </c>
      <c r="D47" s="4">
        <f>IF($B47="","",IF(IFERROR(VALUE(LEFT(LOWER(LEFT($A47,FIND("|",$A47)-1)),3)),IFERROR(VALUE(LEFT(LOWER(LEFT($A47,FIND("|",$A47)-1)),2)),IFERROR(VALUE(LEFT(LOWER(LEFT($A47,FIND("|",$A47)-1)),1)),-1)))&gt;=0,TEXT(IFERROR(VALUE(LEFT(LOWER(LEFT($A47,FIND("|",$A47)-1)),3)),IFERROR(VALUE(LEFT(LOWER(LEFT($A47,FIND("|",$A47)-1)),2)),IFERROR(VALUE(LEFT(LOWER(LEFT($A47,FIND("|",$A47)-1)),1)),-1))),"000000")&amp;MID(LOWER(LEFT($A47,FIND("|",$A47)-1)),LEN(TEXT(IFERROR(VALUE(LEFT(LOWER(LEFT($A47,FIND("|",$A47)-1)),3)),IFERROR(VALUE(LEFT(LOWER(LEFT($A47,FIND("|",$A47)-1)),2)),IFERROR(VALUE(LEFT(LOWER(LEFT($A47,FIND("|",$A47)-1)),1)),-1))),"0"))+1,99),LOWER(LEFT($A47,FIND("|",$A47)-1)))&amp;CHAR(9)&amp;TEXT(IF(SUBSTITUTE(MID($A47,FIND("|",$A47)+1,50),"'","")="",0,IFERROR(VALUE(SUBSTITUTE(MID($A47,FIND("|",$A47)+1,50),"'","")),999999)),"000000")&amp;CHAR(9)&amp;TEXT($B47,"0000"))</f>
        <v/>
      </c>
      <c r="E47" s="4">
        <f>IF($D47="","",SUMPRODUCT(($D$5:$D$364&lt;&gt;"")*($D$5:$D$364&lt;$D47))+1)</f>
        <v/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70">
      <c r="A48" s="4">
        <f t="array" ref="A48">IF(N(INDIRECT("'Pull Sheet'!C50"))&gt;0,INDIRECT("'Pull Sheet'!A50")&amp;"|"&amp;INDIRECT("'Pull Sheet'!B50"),"")</f>
        <v/>
      </c>
      <c r="B48" s="4">
        <f>IF(AND($A48&lt;&gt;"",COUNTIF($A$5:$A48,$A48)=1),MAX($B$4:$B47)+1,"")</f>
        <v/>
      </c>
      <c r="C48" s="4">
        <f t="array" ref="C48">IF($A48="","",N(INDIRECT("'Pull Sheet'!C50")))</f>
        <v/>
      </c>
      <c r="D48" s="4">
        <f>IF($B48="","",IF(IFERROR(VALUE(LEFT(LOWER(LEFT($A48,FIND("|",$A48)-1)),3)),IFERROR(VALUE(LEFT(LOWER(LEFT($A48,FIND("|",$A48)-1)),2)),IFERROR(VALUE(LEFT(LOWER(LEFT($A48,FIND("|",$A48)-1)),1)),-1)))&gt;=0,TEXT(IFERROR(VALUE(LEFT(LOWER(LEFT($A48,FIND("|",$A48)-1)),3)),IFERROR(VALUE(LEFT(LOWER(LEFT($A48,FIND("|",$A48)-1)),2)),IFERROR(VALUE(LEFT(LOWER(LEFT($A48,FIND("|",$A48)-1)),1)),-1))),"000000")&amp;MID(LOWER(LEFT($A48,FIND("|",$A48)-1)),LEN(TEXT(IFERROR(VALUE(LEFT(LOWER(LEFT($A48,FIND("|",$A48)-1)),3)),IFERROR(VALUE(LEFT(LOWER(LEFT($A48,FIND("|",$A48)-1)),2)),IFERROR(VALUE(LEFT(LOWER(LEFT($A48,FIND("|",$A48)-1)),1)),-1))),"0"))+1,99),LOWER(LEFT($A48,FIND("|",$A48)-1)))&amp;CHAR(9)&amp;TEXT(IF(SUBSTITUTE(MID($A48,FIND("|",$A48)+1,50),"'","")="",0,IFERROR(VALUE(SUBSTITUTE(MID($A48,FIND("|",$A48)+1,50),"'","")),999999)),"000000")&amp;CHAR(9)&amp;TEXT($B48,"0000"))</f>
        <v/>
      </c>
      <c r="E48" s="4">
        <f>IF($D48="","",SUMPRODUCT(($D$5:$D$364&lt;&gt;"")*($D$5:$D$364&lt;$D48))+1)</f>
        <v/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70">
      <c r="A49" s="4">
        <f t="array" ref="A49">IF(N(INDIRECT("'Pull Sheet'!C51"))&gt;0,INDIRECT("'Pull Sheet'!A51")&amp;"|"&amp;INDIRECT("'Pull Sheet'!B51"),"")</f>
        <v/>
      </c>
      <c r="B49" s="4">
        <f>IF(AND($A49&lt;&gt;"",COUNTIF($A$5:$A49,$A49)=1),MAX($B$4:$B48)+1,"")</f>
        <v/>
      </c>
      <c r="C49" s="4">
        <f t="array" ref="C49">IF($A49="","",N(INDIRECT("'Pull Sheet'!C51")))</f>
        <v/>
      </c>
      <c r="D49" s="4">
        <f>IF($B49="","",IF(IFERROR(VALUE(LEFT(LOWER(LEFT($A49,FIND("|",$A49)-1)),3)),IFERROR(VALUE(LEFT(LOWER(LEFT($A49,FIND("|",$A49)-1)),2)),IFERROR(VALUE(LEFT(LOWER(LEFT($A49,FIND("|",$A49)-1)),1)),-1)))&gt;=0,TEXT(IFERROR(VALUE(LEFT(LOWER(LEFT($A49,FIND("|",$A49)-1)),3)),IFERROR(VALUE(LEFT(LOWER(LEFT($A49,FIND("|",$A49)-1)),2)),IFERROR(VALUE(LEFT(LOWER(LEFT($A49,FIND("|",$A49)-1)),1)),-1))),"000000")&amp;MID(LOWER(LEFT($A49,FIND("|",$A49)-1)),LEN(TEXT(IFERROR(VALUE(LEFT(LOWER(LEFT($A49,FIND("|",$A49)-1)),3)),IFERROR(VALUE(LEFT(LOWER(LEFT($A49,FIND("|",$A49)-1)),2)),IFERROR(VALUE(LEFT(LOWER(LEFT($A49,FIND("|",$A49)-1)),1)),-1))),"0"))+1,99),LOWER(LEFT($A49,FIND("|",$A49)-1)))&amp;CHAR(9)&amp;TEXT(IF(SUBSTITUTE(MID($A49,FIND("|",$A49)+1,50),"'","")="",0,IFERROR(VALUE(SUBSTITUTE(MID($A49,FIND("|",$A49)+1,50),"'","")),999999)),"000000")&amp;CHAR(9)&amp;TEXT($B49,"0000"))</f>
        <v/>
      </c>
      <c r="E49" s="4">
        <f>IF($D49="","",SUMPRODUCT(($D$5:$D$364&lt;&gt;"")*($D$5:$D$364&lt;$D49))+1)</f>
        <v/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70">
      <c r="A50" s="4">
        <f t="array" ref="A50">IF(N(INDIRECT("'Pull Sheet'!C52"))&gt;0,INDIRECT("'Pull Sheet'!A52")&amp;"|"&amp;INDIRECT("'Pull Sheet'!B52"),"")</f>
        <v/>
      </c>
      <c r="B50" s="4">
        <f>IF(AND($A50&lt;&gt;"",COUNTIF($A$5:$A50,$A50)=1),MAX($B$4:$B49)+1,"")</f>
        <v/>
      </c>
      <c r="C50" s="4">
        <f t="array" ref="C50">IF($A50="","",N(INDIRECT("'Pull Sheet'!C52")))</f>
        <v/>
      </c>
      <c r="D50" s="4">
        <f>IF($B50="","",IF(IFERROR(VALUE(LEFT(LOWER(LEFT($A50,FIND("|",$A50)-1)),3)),IFERROR(VALUE(LEFT(LOWER(LEFT($A50,FIND("|",$A50)-1)),2)),IFERROR(VALUE(LEFT(LOWER(LEFT($A50,FIND("|",$A50)-1)),1)),-1)))&gt;=0,TEXT(IFERROR(VALUE(LEFT(LOWER(LEFT($A50,FIND("|",$A50)-1)),3)),IFERROR(VALUE(LEFT(LOWER(LEFT($A50,FIND("|",$A50)-1)),2)),IFERROR(VALUE(LEFT(LOWER(LEFT($A50,FIND("|",$A50)-1)),1)),-1))),"000000")&amp;MID(LOWER(LEFT($A50,FIND("|",$A50)-1)),LEN(TEXT(IFERROR(VALUE(LEFT(LOWER(LEFT($A50,FIND("|",$A50)-1)),3)),IFERROR(VALUE(LEFT(LOWER(LEFT($A50,FIND("|",$A50)-1)),2)),IFERROR(VALUE(LEFT(LOWER(LEFT($A50,FIND("|",$A50)-1)),1)),-1))),"0"))+1,99),LOWER(LEFT($A50,FIND("|",$A50)-1)))&amp;CHAR(9)&amp;TEXT(IF(SUBSTITUTE(MID($A50,FIND("|",$A50)+1,50),"'","")="",0,IFERROR(VALUE(SUBSTITUTE(MID($A50,FIND("|",$A50)+1,50),"'","")),999999)),"000000")&amp;CHAR(9)&amp;TEXT($B50,"0000"))</f>
        <v/>
      </c>
      <c r="E50" s="4">
        <f>IF($D50="","",SUMPRODUCT(($D$5:$D$364&lt;&gt;"")*($D$5:$D$364&lt;$D50))+1)</f>
        <v/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70">
      <c r="A51" s="4">
        <f t="array" ref="A51">IF(N(INDIRECT("'Pull Sheet'!C53"))&gt;0,INDIRECT("'Pull Sheet'!A53")&amp;"|"&amp;INDIRECT("'Pull Sheet'!B53"),"")</f>
        <v/>
      </c>
      <c r="B51" s="4">
        <f>IF(AND($A51&lt;&gt;"",COUNTIF($A$5:$A51,$A51)=1),MAX($B$4:$B50)+1,"")</f>
        <v/>
      </c>
      <c r="C51" s="4">
        <f t="array" ref="C51">IF($A51="","",N(INDIRECT("'Pull Sheet'!C53")))</f>
        <v/>
      </c>
      <c r="D51" s="4">
        <f>IF($B51="","",IF(IFERROR(VALUE(LEFT(LOWER(LEFT($A51,FIND("|",$A51)-1)),3)),IFERROR(VALUE(LEFT(LOWER(LEFT($A51,FIND("|",$A51)-1)),2)),IFERROR(VALUE(LEFT(LOWER(LEFT($A51,FIND("|",$A51)-1)),1)),-1)))&gt;=0,TEXT(IFERROR(VALUE(LEFT(LOWER(LEFT($A51,FIND("|",$A51)-1)),3)),IFERROR(VALUE(LEFT(LOWER(LEFT($A51,FIND("|",$A51)-1)),2)),IFERROR(VALUE(LEFT(LOWER(LEFT($A51,FIND("|",$A51)-1)),1)),-1))),"000000")&amp;MID(LOWER(LEFT($A51,FIND("|",$A51)-1)),LEN(TEXT(IFERROR(VALUE(LEFT(LOWER(LEFT($A51,FIND("|",$A51)-1)),3)),IFERROR(VALUE(LEFT(LOWER(LEFT($A51,FIND("|",$A51)-1)),2)),IFERROR(VALUE(LEFT(LOWER(LEFT($A51,FIND("|",$A51)-1)),1)),-1))),"0"))+1,99),LOWER(LEFT($A51,FIND("|",$A51)-1)))&amp;CHAR(9)&amp;TEXT(IF(SUBSTITUTE(MID($A51,FIND("|",$A51)+1,50),"'","")="",0,IFERROR(VALUE(SUBSTITUTE(MID($A51,FIND("|",$A51)+1,50),"'","")),999999)),"000000")&amp;CHAR(9)&amp;TEXT($B51,"0000"))</f>
        <v/>
      </c>
      <c r="E51" s="4">
        <f>IF($D51="","",SUMPRODUCT(($D$5:$D$364&lt;&gt;"")*($D$5:$D$364&lt;$D51))+1)</f>
        <v/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70">
      <c r="A52" s="4">
        <f t="array" ref="A52">IF(N(INDIRECT("'Pull Sheet'!C54"))&gt;0,INDIRECT("'Pull Sheet'!A54")&amp;"|"&amp;INDIRECT("'Pull Sheet'!B54"),"")</f>
        <v/>
      </c>
      <c r="B52" s="4">
        <f>IF(AND($A52&lt;&gt;"",COUNTIF($A$5:$A52,$A52)=1),MAX($B$4:$B51)+1,"")</f>
        <v/>
      </c>
      <c r="C52" s="4">
        <f t="array" ref="C52">IF($A52="","",N(INDIRECT("'Pull Sheet'!C54")))</f>
        <v/>
      </c>
      <c r="D52" s="4">
        <f>IF($B52="","",IF(IFERROR(VALUE(LEFT(LOWER(LEFT($A52,FIND("|",$A52)-1)),3)),IFERROR(VALUE(LEFT(LOWER(LEFT($A52,FIND("|",$A52)-1)),2)),IFERROR(VALUE(LEFT(LOWER(LEFT($A52,FIND("|",$A52)-1)),1)),-1)))&gt;=0,TEXT(IFERROR(VALUE(LEFT(LOWER(LEFT($A52,FIND("|",$A52)-1)),3)),IFERROR(VALUE(LEFT(LOWER(LEFT($A52,FIND("|",$A52)-1)),2)),IFERROR(VALUE(LEFT(LOWER(LEFT($A52,FIND("|",$A52)-1)),1)),-1))),"000000")&amp;MID(LOWER(LEFT($A52,FIND("|",$A52)-1)),LEN(TEXT(IFERROR(VALUE(LEFT(LOWER(LEFT($A52,FIND("|",$A52)-1)),3)),IFERROR(VALUE(LEFT(LOWER(LEFT($A52,FIND("|",$A52)-1)),2)),IFERROR(VALUE(LEFT(LOWER(LEFT($A52,FIND("|",$A52)-1)),1)),-1))),"0"))+1,99),LOWER(LEFT($A52,FIND("|",$A52)-1)))&amp;CHAR(9)&amp;TEXT(IF(SUBSTITUTE(MID($A52,FIND("|",$A52)+1,50),"'","")="",0,IFERROR(VALUE(SUBSTITUTE(MID($A52,FIND("|",$A52)+1,50),"'","")),999999)),"000000")&amp;CHAR(9)&amp;TEXT($B52,"0000"))</f>
        <v/>
      </c>
      <c r="E52" s="4">
        <f>IF($D52="","",SUMPRODUCT(($D$5:$D$364&lt;&gt;"")*($D$5:$D$364&lt;$D52))+1)</f>
        <v/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70">
      <c r="A53" s="4">
        <f t="array" ref="A53">IF(N(INDIRECT("'Pull Sheet'!C55"))&gt;0,INDIRECT("'Pull Sheet'!A55")&amp;"|"&amp;INDIRECT("'Pull Sheet'!B55"),"")</f>
        <v/>
      </c>
      <c r="B53" s="4">
        <f>IF(AND($A53&lt;&gt;"",COUNTIF($A$5:$A53,$A53)=1),MAX($B$4:$B52)+1,"")</f>
        <v/>
      </c>
      <c r="C53" s="4">
        <f t="array" ref="C53">IF($A53="","",N(INDIRECT("'Pull Sheet'!C55")))</f>
        <v/>
      </c>
      <c r="D53" s="4">
        <f>IF($B53="","",IF(IFERROR(VALUE(LEFT(LOWER(LEFT($A53,FIND("|",$A53)-1)),3)),IFERROR(VALUE(LEFT(LOWER(LEFT($A53,FIND("|",$A53)-1)),2)),IFERROR(VALUE(LEFT(LOWER(LEFT($A53,FIND("|",$A53)-1)),1)),-1)))&gt;=0,TEXT(IFERROR(VALUE(LEFT(LOWER(LEFT($A53,FIND("|",$A53)-1)),3)),IFERROR(VALUE(LEFT(LOWER(LEFT($A53,FIND("|",$A53)-1)),2)),IFERROR(VALUE(LEFT(LOWER(LEFT($A53,FIND("|",$A53)-1)),1)),-1))),"000000")&amp;MID(LOWER(LEFT($A53,FIND("|",$A53)-1)),LEN(TEXT(IFERROR(VALUE(LEFT(LOWER(LEFT($A53,FIND("|",$A53)-1)),3)),IFERROR(VALUE(LEFT(LOWER(LEFT($A53,FIND("|",$A53)-1)),2)),IFERROR(VALUE(LEFT(LOWER(LEFT($A53,FIND("|",$A53)-1)),1)),-1))),"0"))+1,99),LOWER(LEFT($A53,FIND("|",$A53)-1)))&amp;CHAR(9)&amp;TEXT(IF(SUBSTITUTE(MID($A53,FIND("|",$A53)+1,50),"'","")="",0,IFERROR(VALUE(SUBSTITUTE(MID($A53,FIND("|",$A53)+1,50),"'","")),999999)),"000000")&amp;CHAR(9)&amp;TEXT($B53,"0000"))</f>
        <v/>
      </c>
      <c r="E53" s="4">
        <f>IF($D53="","",SUMPRODUCT(($D$5:$D$364&lt;&gt;"")*($D$5:$D$364&lt;$D53))+1)</f>
        <v/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70">
      <c r="A54" s="4">
        <f t="array" ref="A54">IF(N(INDIRECT("'Pull Sheet'!C56"))&gt;0,INDIRECT("'Pull Sheet'!A56")&amp;"|"&amp;INDIRECT("'Pull Sheet'!B56"),"")</f>
        <v/>
      </c>
      <c r="B54" s="4">
        <f>IF(AND($A54&lt;&gt;"",COUNTIF($A$5:$A54,$A54)=1),MAX($B$4:$B53)+1,"")</f>
        <v/>
      </c>
      <c r="C54" s="4">
        <f t="array" ref="C54">IF($A54="","",N(INDIRECT("'Pull Sheet'!C56")))</f>
        <v/>
      </c>
      <c r="D54" s="4">
        <f>IF($B54="","",IF(IFERROR(VALUE(LEFT(LOWER(LEFT($A54,FIND("|",$A54)-1)),3)),IFERROR(VALUE(LEFT(LOWER(LEFT($A54,FIND("|",$A54)-1)),2)),IFERROR(VALUE(LEFT(LOWER(LEFT($A54,FIND("|",$A54)-1)),1)),-1)))&gt;=0,TEXT(IFERROR(VALUE(LEFT(LOWER(LEFT($A54,FIND("|",$A54)-1)),3)),IFERROR(VALUE(LEFT(LOWER(LEFT($A54,FIND("|",$A54)-1)),2)),IFERROR(VALUE(LEFT(LOWER(LEFT($A54,FIND("|",$A54)-1)),1)),-1))),"000000")&amp;MID(LOWER(LEFT($A54,FIND("|",$A54)-1)),LEN(TEXT(IFERROR(VALUE(LEFT(LOWER(LEFT($A54,FIND("|",$A54)-1)),3)),IFERROR(VALUE(LEFT(LOWER(LEFT($A54,FIND("|",$A54)-1)),2)),IFERROR(VALUE(LEFT(LOWER(LEFT($A54,FIND("|",$A54)-1)),1)),-1))),"0"))+1,99),LOWER(LEFT($A54,FIND("|",$A54)-1)))&amp;CHAR(9)&amp;TEXT(IF(SUBSTITUTE(MID($A54,FIND("|",$A54)+1,50),"'","")="",0,IFERROR(VALUE(SUBSTITUTE(MID($A54,FIND("|",$A54)+1,50),"'","")),999999)),"000000")&amp;CHAR(9)&amp;TEXT($B54,"0000"))</f>
        <v/>
      </c>
      <c r="E54" s="4">
        <f>IF($D54="","",SUMPRODUCT(($D$5:$D$364&lt;&gt;"")*($D$5:$D$364&lt;$D54))+1)</f>
        <v/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70">
      <c r="A55" s="4">
        <f t="array" ref="A55">IF(N(INDIRECT("'Pull Sheet'!C57"))&gt;0,INDIRECT("'Pull Sheet'!A57")&amp;"|"&amp;INDIRECT("'Pull Sheet'!B57"),"")</f>
        <v/>
      </c>
      <c r="B55" s="4">
        <f>IF(AND($A55&lt;&gt;"",COUNTIF($A$5:$A55,$A55)=1),MAX($B$4:$B54)+1,"")</f>
        <v/>
      </c>
      <c r="C55" s="4">
        <f t="array" ref="C55">IF($A55="","",N(INDIRECT("'Pull Sheet'!C57")))</f>
        <v/>
      </c>
      <c r="D55" s="4">
        <f>IF($B55="","",IF(IFERROR(VALUE(LEFT(LOWER(LEFT($A55,FIND("|",$A55)-1)),3)),IFERROR(VALUE(LEFT(LOWER(LEFT($A55,FIND("|",$A55)-1)),2)),IFERROR(VALUE(LEFT(LOWER(LEFT($A55,FIND("|",$A55)-1)),1)),-1)))&gt;=0,TEXT(IFERROR(VALUE(LEFT(LOWER(LEFT($A55,FIND("|",$A55)-1)),3)),IFERROR(VALUE(LEFT(LOWER(LEFT($A55,FIND("|",$A55)-1)),2)),IFERROR(VALUE(LEFT(LOWER(LEFT($A55,FIND("|",$A55)-1)),1)),-1))),"000000")&amp;MID(LOWER(LEFT($A55,FIND("|",$A55)-1)),LEN(TEXT(IFERROR(VALUE(LEFT(LOWER(LEFT($A55,FIND("|",$A55)-1)),3)),IFERROR(VALUE(LEFT(LOWER(LEFT($A55,FIND("|",$A55)-1)),2)),IFERROR(VALUE(LEFT(LOWER(LEFT($A55,FIND("|",$A55)-1)),1)),-1))),"0"))+1,99),LOWER(LEFT($A55,FIND("|",$A55)-1)))&amp;CHAR(9)&amp;TEXT(IF(SUBSTITUTE(MID($A55,FIND("|",$A55)+1,50),"'","")="",0,IFERROR(VALUE(SUBSTITUTE(MID($A55,FIND("|",$A55)+1,50),"'","")),999999)),"000000")&amp;CHAR(9)&amp;TEXT($B55,"0000"))</f>
        <v/>
      </c>
      <c r="E55" s="4">
        <f>IF($D55="","",SUMPRODUCT(($D$5:$D$364&lt;&gt;"")*($D$5:$D$364&lt;$D55))+1)</f>
        <v/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70">
      <c r="A56" s="4">
        <f t="array" ref="A56">IF(N(INDIRECT("'Pull Sheet'!C58"))&gt;0,INDIRECT("'Pull Sheet'!A58")&amp;"|"&amp;INDIRECT("'Pull Sheet'!B58"),"")</f>
        <v/>
      </c>
      <c r="B56" s="4">
        <f>IF(AND($A56&lt;&gt;"",COUNTIF($A$5:$A56,$A56)=1),MAX($B$4:$B55)+1,"")</f>
        <v/>
      </c>
      <c r="C56" s="4">
        <f t="array" ref="C56">IF($A56="","",N(INDIRECT("'Pull Sheet'!C58")))</f>
        <v/>
      </c>
      <c r="D56" s="4">
        <f>IF($B56="","",IF(IFERROR(VALUE(LEFT(LOWER(LEFT($A56,FIND("|",$A56)-1)),3)),IFERROR(VALUE(LEFT(LOWER(LEFT($A56,FIND("|",$A56)-1)),2)),IFERROR(VALUE(LEFT(LOWER(LEFT($A56,FIND("|",$A56)-1)),1)),-1)))&gt;=0,TEXT(IFERROR(VALUE(LEFT(LOWER(LEFT($A56,FIND("|",$A56)-1)),3)),IFERROR(VALUE(LEFT(LOWER(LEFT($A56,FIND("|",$A56)-1)),2)),IFERROR(VALUE(LEFT(LOWER(LEFT($A56,FIND("|",$A56)-1)),1)),-1))),"000000")&amp;MID(LOWER(LEFT($A56,FIND("|",$A56)-1)),LEN(TEXT(IFERROR(VALUE(LEFT(LOWER(LEFT($A56,FIND("|",$A56)-1)),3)),IFERROR(VALUE(LEFT(LOWER(LEFT($A56,FIND("|",$A56)-1)),2)),IFERROR(VALUE(LEFT(LOWER(LEFT($A56,FIND("|",$A56)-1)),1)),-1))),"0"))+1,99),LOWER(LEFT($A56,FIND("|",$A56)-1)))&amp;CHAR(9)&amp;TEXT(IF(SUBSTITUTE(MID($A56,FIND("|",$A56)+1,50),"'","")="",0,IFERROR(VALUE(SUBSTITUTE(MID($A56,FIND("|",$A56)+1,50),"'","")),999999)),"000000")&amp;CHAR(9)&amp;TEXT($B56,"0000"))</f>
        <v/>
      </c>
      <c r="E56" s="4">
        <f>IF($D56="","",SUMPRODUCT(($D$5:$D$364&lt;&gt;"")*($D$5:$D$364&lt;$D56))+1)</f>
        <v/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70">
      <c r="A57" s="4">
        <f t="array" ref="A57">IF(N(INDIRECT("'Pull Sheet'!C59"))&gt;0,INDIRECT("'Pull Sheet'!A59")&amp;"|"&amp;INDIRECT("'Pull Sheet'!B59"),"")</f>
        <v/>
      </c>
      <c r="B57" s="4">
        <f>IF(AND($A57&lt;&gt;"",COUNTIF($A$5:$A57,$A57)=1),MAX($B$4:$B56)+1,"")</f>
        <v/>
      </c>
      <c r="C57" s="4">
        <f t="array" ref="C57">IF($A57="","",N(INDIRECT("'Pull Sheet'!C59")))</f>
        <v/>
      </c>
      <c r="D57" s="4">
        <f>IF($B57="","",IF(IFERROR(VALUE(LEFT(LOWER(LEFT($A57,FIND("|",$A57)-1)),3)),IFERROR(VALUE(LEFT(LOWER(LEFT($A57,FIND("|",$A57)-1)),2)),IFERROR(VALUE(LEFT(LOWER(LEFT($A57,FIND("|",$A57)-1)),1)),-1)))&gt;=0,TEXT(IFERROR(VALUE(LEFT(LOWER(LEFT($A57,FIND("|",$A57)-1)),3)),IFERROR(VALUE(LEFT(LOWER(LEFT($A57,FIND("|",$A57)-1)),2)),IFERROR(VALUE(LEFT(LOWER(LEFT($A57,FIND("|",$A57)-1)),1)),-1))),"000000")&amp;MID(LOWER(LEFT($A57,FIND("|",$A57)-1)),LEN(TEXT(IFERROR(VALUE(LEFT(LOWER(LEFT($A57,FIND("|",$A57)-1)),3)),IFERROR(VALUE(LEFT(LOWER(LEFT($A57,FIND("|",$A57)-1)),2)),IFERROR(VALUE(LEFT(LOWER(LEFT($A57,FIND("|",$A57)-1)),1)),-1))),"0"))+1,99),LOWER(LEFT($A57,FIND("|",$A57)-1)))&amp;CHAR(9)&amp;TEXT(IF(SUBSTITUTE(MID($A57,FIND("|",$A57)+1,50),"'","")="",0,IFERROR(VALUE(SUBSTITUTE(MID($A57,FIND("|",$A57)+1,50),"'","")),999999)),"000000")&amp;CHAR(9)&amp;TEXT($B57,"0000"))</f>
        <v/>
      </c>
      <c r="E57" s="4">
        <f>IF($D57="","",SUMPRODUCT(($D$5:$D$364&lt;&gt;"")*($D$5:$D$364&lt;$D57))+1)</f>
        <v/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70">
      <c r="A58" s="4">
        <f t="array" ref="A58">IF(N(INDIRECT("'Pull Sheet'!C60"))&gt;0,INDIRECT("'Pull Sheet'!A60")&amp;"|"&amp;INDIRECT("'Pull Sheet'!B60"),"")</f>
        <v/>
      </c>
      <c r="B58" s="4">
        <f>IF(AND($A58&lt;&gt;"",COUNTIF($A$5:$A58,$A58)=1),MAX($B$4:$B57)+1,"")</f>
        <v/>
      </c>
      <c r="C58" s="4">
        <f t="array" ref="C58">IF($A58="","",N(INDIRECT("'Pull Sheet'!C60")))</f>
        <v/>
      </c>
      <c r="D58" s="4">
        <f>IF($B58="","",IF(IFERROR(VALUE(LEFT(LOWER(LEFT($A58,FIND("|",$A58)-1)),3)),IFERROR(VALUE(LEFT(LOWER(LEFT($A58,FIND("|",$A58)-1)),2)),IFERROR(VALUE(LEFT(LOWER(LEFT($A58,FIND("|",$A58)-1)),1)),-1)))&gt;=0,TEXT(IFERROR(VALUE(LEFT(LOWER(LEFT($A58,FIND("|",$A58)-1)),3)),IFERROR(VALUE(LEFT(LOWER(LEFT($A58,FIND("|",$A58)-1)),2)),IFERROR(VALUE(LEFT(LOWER(LEFT($A58,FIND("|",$A58)-1)),1)),-1))),"000000")&amp;MID(LOWER(LEFT($A58,FIND("|",$A58)-1)),LEN(TEXT(IFERROR(VALUE(LEFT(LOWER(LEFT($A58,FIND("|",$A58)-1)),3)),IFERROR(VALUE(LEFT(LOWER(LEFT($A58,FIND("|",$A58)-1)),2)),IFERROR(VALUE(LEFT(LOWER(LEFT($A58,FIND("|",$A58)-1)),1)),-1))),"0"))+1,99),LOWER(LEFT($A58,FIND("|",$A58)-1)))&amp;CHAR(9)&amp;TEXT(IF(SUBSTITUTE(MID($A58,FIND("|",$A58)+1,50),"'","")="",0,IFERROR(VALUE(SUBSTITUTE(MID($A58,FIND("|",$A58)+1,50),"'","")),999999)),"000000")&amp;CHAR(9)&amp;TEXT($B58,"0000"))</f>
        <v/>
      </c>
      <c r="E58" s="4">
        <f>IF($D58="","",SUMPRODUCT(($D$5:$D$364&lt;&gt;"")*($D$5:$D$364&lt;$D58))+1)</f>
        <v/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70">
      <c r="A59" s="4">
        <f t="array" ref="A59">IF(N(INDIRECT("'Pull Sheet'!C61"))&gt;0,INDIRECT("'Pull Sheet'!A61")&amp;"|"&amp;INDIRECT("'Pull Sheet'!B61"),"")</f>
        <v/>
      </c>
      <c r="B59" s="4">
        <f>IF(AND($A59&lt;&gt;"",COUNTIF($A$5:$A59,$A59)=1),MAX($B$4:$B58)+1,"")</f>
        <v/>
      </c>
      <c r="C59" s="4">
        <f t="array" ref="C59">IF($A59="","",N(INDIRECT("'Pull Sheet'!C61")))</f>
        <v/>
      </c>
      <c r="D59" s="4">
        <f>IF($B59="","",IF(IFERROR(VALUE(LEFT(LOWER(LEFT($A59,FIND("|",$A59)-1)),3)),IFERROR(VALUE(LEFT(LOWER(LEFT($A59,FIND("|",$A59)-1)),2)),IFERROR(VALUE(LEFT(LOWER(LEFT($A59,FIND("|",$A59)-1)),1)),-1)))&gt;=0,TEXT(IFERROR(VALUE(LEFT(LOWER(LEFT($A59,FIND("|",$A59)-1)),3)),IFERROR(VALUE(LEFT(LOWER(LEFT($A59,FIND("|",$A59)-1)),2)),IFERROR(VALUE(LEFT(LOWER(LEFT($A59,FIND("|",$A59)-1)),1)),-1))),"000000")&amp;MID(LOWER(LEFT($A59,FIND("|",$A59)-1)),LEN(TEXT(IFERROR(VALUE(LEFT(LOWER(LEFT($A59,FIND("|",$A59)-1)),3)),IFERROR(VALUE(LEFT(LOWER(LEFT($A59,FIND("|",$A59)-1)),2)),IFERROR(VALUE(LEFT(LOWER(LEFT($A59,FIND("|",$A59)-1)),1)),-1))),"0"))+1,99),LOWER(LEFT($A59,FIND("|",$A59)-1)))&amp;CHAR(9)&amp;TEXT(IF(SUBSTITUTE(MID($A59,FIND("|",$A59)+1,50),"'","")="",0,IFERROR(VALUE(SUBSTITUTE(MID($A59,FIND("|",$A59)+1,50),"'","")),999999)),"000000")&amp;CHAR(9)&amp;TEXT($B59,"0000"))</f>
        <v/>
      </c>
      <c r="E59" s="4">
        <f>IF($D59="","",SUMPRODUCT(($D$5:$D$364&lt;&gt;"")*($D$5:$D$364&lt;$D59))+1)</f>
        <v/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70">
      <c r="A60" s="4">
        <f t="array" ref="A60">IF(N(INDIRECT("'Pull Sheet'!C62"))&gt;0,INDIRECT("'Pull Sheet'!A62")&amp;"|"&amp;INDIRECT("'Pull Sheet'!B62"),"")</f>
        <v/>
      </c>
      <c r="B60" s="4">
        <f>IF(AND($A60&lt;&gt;"",COUNTIF($A$5:$A60,$A60)=1),MAX($B$4:$B59)+1,"")</f>
        <v/>
      </c>
      <c r="C60" s="4">
        <f t="array" ref="C60">IF($A60="","",N(INDIRECT("'Pull Sheet'!C62")))</f>
        <v/>
      </c>
      <c r="D60" s="4">
        <f>IF($B60="","",IF(IFERROR(VALUE(LEFT(LOWER(LEFT($A60,FIND("|",$A60)-1)),3)),IFERROR(VALUE(LEFT(LOWER(LEFT($A60,FIND("|",$A60)-1)),2)),IFERROR(VALUE(LEFT(LOWER(LEFT($A60,FIND("|",$A60)-1)),1)),-1)))&gt;=0,TEXT(IFERROR(VALUE(LEFT(LOWER(LEFT($A60,FIND("|",$A60)-1)),3)),IFERROR(VALUE(LEFT(LOWER(LEFT($A60,FIND("|",$A60)-1)),2)),IFERROR(VALUE(LEFT(LOWER(LEFT($A60,FIND("|",$A60)-1)),1)),-1))),"000000")&amp;MID(LOWER(LEFT($A60,FIND("|",$A60)-1)),LEN(TEXT(IFERROR(VALUE(LEFT(LOWER(LEFT($A60,FIND("|",$A60)-1)),3)),IFERROR(VALUE(LEFT(LOWER(LEFT($A60,FIND("|",$A60)-1)),2)),IFERROR(VALUE(LEFT(LOWER(LEFT($A60,FIND("|",$A60)-1)),1)),-1))),"0"))+1,99),LOWER(LEFT($A60,FIND("|",$A60)-1)))&amp;CHAR(9)&amp;TEXT(IF(SUBSTITUTE(MID($A60,FIND("|",$A60)+1,50),"'","")="",0,IFERROR(VALUE(SUBSTITUTE(MID($A60,FIND("|",$A60)+1,50),"'","")),999999)),"000000")&amp;CHAR(9)&amp;TEXT($B60,"0000"))</f>
        <v/>
      </c>
      <c r="E60" s="4">
        <f>IF($D60="","",SUMPRODUCT(($D$5:$D$364&lt;&gt;"")*($D$5:$D$364&lt;$D60))+1)</f>
        <v/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70">
      <c r="A61" s="4">
        <f t="array" ref="A61">IF(N(INDIRECT("'Pull Sheet'!C63"))&gt;0,INDIRECT("'Pull Sheet'!A63")&amp;"|"&amp;INDIRECT("'Pull Sheet'!B63"),"")</f>
        <v/>
      </c>
      <c r="B61" s="4">
        <f>IF(AND($A61&lt;&gt;"",COUNTIF($A$5:$A61,$A61)=1),MAX($B$4:$B60)+1,"")</f>
        <v/>
      </c>
      <c r="C61" s="4">
        <f t="array" ref="C61">IF($A61="","",N(INDIRECT("'Pull Sheet'!C63")))</f>
        <v/>
      </c>
      <c r="D61" s="4">
        <f>IF($B61="","",IF(IFERROR(VALUE(LEFT(LOWER(LEFT($A61,FIND("|",$A61)-1)),3)),IFERROR(VALUE(LEFT(LOWER(LEFT($A61,FIND("|",$A61)-1)),2)),IFERROR(VALUE(LEFT(LOWER(LEFT($A61,FIND("|",$A61)-1)),1)),-1)))&gt;=0,TEXT(IFERROR(VALUE(LEFT(LOWER(LEFT($A61,FIND("|",$A61)-1)),3)),IFERROR(VALUE(LEFT(LOWER(LEFT($A61,FIND("|",$A61)-1)),2)),IFERROR(VALUE(LEFT(LOWER(LEFT($A61,FIND("|",$A61)-1)),1)),-1))),"000000")&amp;MID(LOWER(LEFT($A61,FIND("|",$A61)-1)),LEN(TEXT(IFERROR(VALUE(LEFT(LOWER(LEFT($A61,FIND("|",$A61)-1)),3)),IFERROR(VALUE(LEFT(LOWER(LEFT($A61,FIND("|",$A61)-1)),2)),IFERROR(VALUE(LEFT(LOWER(LEFT($A61,FIND("|",$A61)-1)),1)),-1))),"0"))+1,99),LOWER(LEFT($A61,FIND("|",$A61)-1)))&amp;CHAR(9)&amp;TEXT(IF(SUBSTITUTE(MID($A61,FIND("|",$A61)+1,50),"'","")="",0,IFERROR(VALUE(SUBSTITUTE(MID($A61,FIND("|",$A61)+1,50),"'","")),999999)),"000000")&amp;CHAR(9)&amp;TEXT($B61,"0000"))</f>
        <v/>
      </c>
      <c r="E61" s="4">
        <f>IF($D61="","",SUMPRODUCT(($D$5:$D$364&lt;&gt;"")*($D$5:$D$364&lt;$D61))+1)</f>
        <v/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70">
      <c r="A62" s="4">
        <f t="array" ref="A62">IF(N(INDIRECT("'Pull Sheet'!C64"))&gt;0,INDIRECT("'Pull Sheet'!A64")&amp;"|"&amp;INDIRECT("'Pull Sheet'!B64"),"")</f>
        <v/>
      </c>
      <c r="B62" s="4">
        <f>IF(AND($A62&lt;&gt;"",COUNTIF($A$5:$A62,$A62)=1),MAX($B$4:$B61)+1,"")</f>
        <v/>
      </c>
      <c r="C62" s="4">
        <f t="array" ref="C62">IF($A62="","",N(INDIRECT("'Pull Sheet'!C64")))</f>
        <v/>
      </c>
      <c r="D62" s="4">
        <f>IF($B62="","",IF(IFERROR(VALUE(LEFT(LOWER(LEFT($A62,FIND("|",$A62)-1)),3)),IFERROR(VALUE(LEFT(LOWER(LEFT($A62,FIND("|",$A62)-1)),2)),IFERROR(VALUE(LEFT(LOWER(LEFT($A62,FIND("|",$A62)-1)),1)),-1)))&gt;=0,TEXT(IFERROR(VALUE(LEFT(LOWER(LEFT($A62,FIND("|",$A62)-1)),3)),IFERROR(VALUE(LEFT(LOWER(LEFT($A62,FIND("|",$A62)-1)),2)),IFERROR(VALUE(LEFT(LOWER(LEFT($A62,FIND("|",$A62)-1)),1)),-1))),"000000")&amp;MID(LOWER(LEFT($A62,FIND("|",$A62)-1)),LEN(TEXT(IFERROR(VALUE(LEFT(LOWER(LEFT($A62,FIND("|",$A62)-1)),3)),IFERROR(VALUE(LEFT(LOWER(LEFT($A62,FIND("|",$A62)-1)),2)),IFERROR(VALUE(LEFT(LOWER(LEFT($A62,FIND("|",$A62)-1)),1)),-1))),"0"))+1,99),LOWER(LEFT($A62,FIND("|",$A62)-1)))&amp;CHAR(9)&amp;TEXT(IF(SUBSTITUTE(MID($A62,FIND("|",$A62)+1,50),"'","")="",0,IFERROR(VALUE(SUBSTITUTE(MID($A62,FIND("|",$A62)+1,50),"'","")),999999)),"000000")&amp;CHAR(9)&amp;TEXT($B62,"0000"))</f>
        <v/>
      </c>
      <c r="E62" s="4">
        <f>IF($D62="","",SUMPRODUCT(($D$5:$D$364&lt;&gt;"")*($D$5:$D$364&lt;$D62))+1)</f>
        <v/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70">
      <c r="A63" s="4">
        <f t="array" ref="A63">IF(N(INDIRECT("'Pull Sheet'!C65"))&gt;0,INDIRECT("'Pull Sheet'!A65")&amp;"|"&amp;INDIRECT("'Pull Sheet'!B65"),"")</f>
        <v/>
      </c>
      <c r="B63" s="4">
        <f>IF(AND($A63&lt;&gt;"",COUNTIF($A$5:$A63,$A63)=1),MAX($B$4:$B62)+1,"")</f>
        <v/>
      </c>
      <c r="C63" s="4">
        <f t="array" ref="C63">IF($A63="","",N(INDIRECT("'Pull Sheet'!C65")))</f>
        <v/>
      </c>
      <c r="D63" s="4">
        <f>IF($B63="","",IF(IFERROR(VALUE(LEFT(LOWER(LEFT($A63,FIND("|",$A63)-1)),3)),IFERROR(VALUE(LEFT(LOWER(LEFT($A63,FIND("|",$A63)-1)),2)),IFERROR(VALUE(LEFT(LOWER(LEFT($A63,FIND("|",$A63)-1)),1)),-1)))&gt;=0,TEXT(IFERROR(VALUE(LEFT(LOWER(LEFT($A63,FIND("|",$A63)-1)),3)),IFERROR(VALUE(LEFT(LOWER(LEFT($A63,FIND("|",$A63)-1)),2)),IFERROR(VALUE(LEFT(LOWER(LEFT($A63,FIND("|",$A63)-1)),1)),-1))),"000000")&amp;MID(LOWER(LEFT($A63,FIND("|",$A63)-1)),LEN(TEXT(IFERROR(VALUE(LEFT(LOWER(LEFT($A63,FIND("|",$A63)-1)),3)),IFERROR(VALUE(LEFT(LOWER(LEFT($A63,FIND("|",$A63)-1)),2)),IFERROR(VALUE(LEFT(LOWER(LEFT($A63,FIND("|",$A63)-1)),1)),-1))),"0"))+1,99),LOWER(LEFT($A63,FIND("|",$A63)-1)))&amp;CHAR(9)&amp;TEXT(IF(SUBSTITUTE(MID($A63,FIND("|",$A63)+1,50),"'","")="",0,IFERROR(VALUE(SUBSTITUTE(MID($A63,FIND("|",$A63)+1,50),"'","")),999999)),"000000")&amp;CHAR(9)&amp;TEXT($B63,"0000"))</f>
        <v/>
      </c>
      <c r="E63" s="4">
        <f>IF($D63="","",SUMPRODUCT(($D$5:$D$364&lt;&gt;"")*($D$5:$D$364&lt;$D63))+1)</f>
        <v/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70">
      <c r="A64" s="4">
        <f t="array" ref="A64">IF(N(INDIRECT("'Pull Sheet'!C66"))&gt;0,INDIRECT("'Pull Sheet'!A66")&amp;"|"&amp;INDIRECT("'Pull Sheet'!B66"),"")</f>
        <v/>
      </c>
      <c r="B64" s="4">
        <f>IF(AND($A64&lt;&gt;"",COUNTIF($A$5:$A64,$A64)=1),MAX($B$4:$B63)+1,"")</f>
        <v/>
      </c>
      <c r="C64" s="4">
        <f t="array" ref="C64">IF($A64="","",N(INDIRECT("'Pull Sheet'!C66")))</f>
        <v/>
      </c>
      <c r="D64" s="4">
        <f>IF($B64="","",IF(IFERROR(VALUE(LEFT(LOWER(LEFT($A64,FIND("|",$A64)-1)),3)),IFERROR(VALUE(LEFT(LOWER(LEFT($A64,FIND("|",$A64)-1)),2)),IFERROR(VALUE(LEFT(LOWER(LEFT($A64,FIND("|",$A64)-1)),1)),-1)))&gt;=0,TEXT(IFERROR(VALUE(LEFT(LOWER(LEFT($A64,FIND("|",$A64)-1)),3)),IFERROR(VALUE(LEFT(LOWER(LEFT($A64,FIND("|",$A64)-1)),2)),IFERROR(VALUE(LEFT(LOWER(LEFT($A64,FIND("|",$A64)-1)),1)),-1))),"000000")&amp;MID(LOWER(LEFT($A64,FIND("|",$A64)-1)),LEN(TEXT(IFERROR(VALUE(LEFT(LOWER(LEFT($A64,FIND("|",$A64)-1)),3)),IFERROR(VALUE(LEFT(LOWER(LEFT($A64,FIND("|",$A64)-1)),2)),IFERROR(VALUE(LEFT(LOWER(LEFT($A64,FIND("|",$A64)-1)),1)),-1))),"0"))+1,99),LOWER(LEFT($A64,FIND("|",$A64)-1)))&amp;CHAR(9)&amp;TEXT(IF(SUBSTITUTE(MID($A64,FIND("|",$A64)+1,50),"'","")="",0,IFERROR(VALUE(SUBSTITUTE(MID($A64,FIND("|",$A64)+1,50),"'","")),999999)),"000000")&amp;CHAR(9)&amp;TEXT($B64,"0000"))</f>
        <v/>
      </c>
      <c r="E64" s="4">
        <f>IF($D64="","",SUMPRODUCT(($D$5:$D$364&lt;&gt;"")*($D$5:$D$364&lt;$D64))+1)</f>
        <v/>
      </c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70">
      <c r="A65" s="4">
        <f t="array" ref="A65">IF(N(INDIRECT("'Pull Sheet'!I7"))&gt;0,INDIRECT("'Pull Sheet'!G7")&amp;"|"&amp;INDIRECT("'Pull Sheet'!H7"),"")</f>
        <v/>
      </c>
      <c r="B65" s="4">
        <f>IF(AND($A65&lt;&gt;"",COUNTIF($A$5:$A65,$A65)=1),MAX($B$4:$B64)+1,"")</f>
        <v/>
      </c>
      <c r="C65" s="4">
        <f t="array" ref="C65">IF($A65="","",N(INDIRECT("'Pull Sheet'!I7")))</f>
        <v/>
      </c>
      <c r="D65" s="4">
        <f>IF($B65="","",IF(IFERROR(VALUE(LEFT(LOWER(LEFT($A65,FIND("|",$A65)-1)),3)),IFERROR(VALUE(LEFT(LOWER(LEFT($A65,FIND("|",$A65)-1)),2)),IFERROR(VALUE(LEFT(LOWER(LEFT($A65,FIND("|",$A65)-1)),1)),-1)))&gt;=0,TEXT(IFERROR(VALUE(LEFT(LOWER(LEFT($A65,FIND("|",$A65)-1)),3)),IFERROR(VALUE(LEFT(LOWER(LEFT($A65,FIND("|",$A65)-1)),2)),IFERROR(VALUE(LEFT(LOWER(LEFT($A65,FIND("|",$A65)-1)),1)),-1))),"000000")&amp;MID(LOWER(LEFT($A65,FIND("|",$A65)-1)),LEN(TEXT(IFERROR(VALUE(LEFT(LOWER(LEFT($A65,FIND("|",$A65)-1)),3)),IFERROR(VALUE(LEFT(LOWER(LEFT($A65,FIND("|",$A65)-1)),2)),IFERROR(VALUE(LEFT(LOWER(LEFT($A65,FIND("|",$A65)-1)),1)),-1))),"0"))+1,99),LOWER(LEFT($A65,FIND("|",$A65)-1)))&amp;CHAR(9)&amp;TEXT(IF(SUBSTITUTE(MID($A65,FIND("|",$A65)+1,50),"'","")="",0,IFERROR(VALUE(SUBSTITUTE(MID($A65,FIND("|",$A65)+1,50),"'","")),999999)),"000000")&amp;CHAR(9)&amp;TEXT($B65,"0000"))</f>
        <v/>
      </c>
      <c r="E65" s="4">
        <f>IF($D65="","",SUMPRODUCT(($D$5:$D$364&lt;&gt;"")*($D$5:$D$364&lt;$D65))+1)</f>
        <v/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70">
      <c r="A66" s="4">
        <f t="array" ref="A66">IF(N(INDIRECT("'Pull Sheet'!I8"))&gt;0,INDIRECT("'Pull Sheet'!G8")&amp;"|"&amp;INDIRECT("'Pull Sheet'!H8"),"")</f>
        <v/>
      </c>
      <c r="B66" s="4">
        <f>IF(AND($A66&lt;&gt;"",COUNTIF($A$5:$A66,$A66)=1),MAX($B$4:$B65)+1,"")</f>
        <v/>
      </c>
      <c r="C66" s="4">
        <f t="array" ref="C66">IF($A66="","",N(INDIRECT("'Pull Sheet'!I8")))</f>
        <v/>
      </c>
      <c r="D66" s="4">
        <f>IF($B66="","",IF(IFERROR(VALUE(LEFT(LOWER(LEFT($A66,FIND("|",$A66)-1)),3)),IFERROR(VALUE(LEFT(LOWER(LEFT($A66,FIND("|",$A66)-1)),2)),IFERROR(VALUE(LEFT(LOWER(LEFT($A66,FIND("|",$A66)-1)),1)),-1)))&gt;=0,TEXT(IFERROR(VALUE(LEFT(LOWER(LEFT($A66,FIND("|",$A66)-1)),3)),IFERROR(VALUE(LEFT(LOWER(LEFT($A66,FIND("|",$A66)-1)),2)),IFERROR(VALUE(LEFT(LOWER(LEFT($A66,FIND("|",$A66)-1)),1)),-1))),"000000")&amp;MID(LOWER(LEFT($A66,FIND("|",$A66)-1)),LEN(TEXT(IFERROR(VALUE(LEFT(LOWER(LEFT($A66,FIND("|",$A66)-1)),3)),IFERROR(VALUE(LEFT(LOWER(LEFT($A66,FIND("|",$A66)-1)),2)),IFERROR(VALUE(LEFT(LOWER(LEFT($A66,FIND("|",$A66)-1)),1)),-1))),"0"))+1,99),LOWER(LEFT($A66,FIND("|",$A66)-1)))&amp;CHAR(9)&amp;TEXT(IF(SUBSTITUTE(MID($A66,FIND("|",$A66)+1,50),"'","")="",0,IFERROR(VALUE(SUBSTITUTE(MID($A66,FIND("|",$A66)+1,50),"'","")),999999)),"000000")&amp;CHAR(9)&amp;TEXT($B66,"0000"))</f>
        <v/>
      </c>
      <c r="E66" s="4">
        <f>IF($D66="","",SUMPRODUCT(($D$5:$D$364&lt;&gt;"")*($D$5:$D$364&lt;$D66))+1)</f>
        <v/>
      </c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70">
      <c r="A67" s="4">
        <f t="array" ref="A67">IF(N(INDIRECT("'Pull Sheet'!I9"))&gt;0,INDIRECT("'Pull Sheet'!G9")&amp;"|"&amp;INDIRECT("'Pull Sheet'!H9"),"")</f>
        <v/>
      </c>
      <c r="B67" s="4">
        <f>IF(AND($A67&lt;&gt;"",COUNTIF($A$5:$A67,$A67)=1),MAX($B$4:$B66)+1,"")</f>
        <v/>
      </c>
      <c r="C67" s="4">
        <f t="array" ref="C67">IF($A67="","",N(INDIRECT("'Pull Sheet'!I9")))</f>
        <v/>
      </c>
      <c r="D67" s="4">
        <f>IF($B67="","",IF(IFERROR(VALUE(LEFT(LOWER(LEFT($A67,FIND("|",$A67)-1)),3)),IFERROR(VALUE(LEFT(LOWER(LEFT($A67,FIND("|",$A67)-1)),2)),IFERROR(VALUE(LEFT(LOWER(LEFT($A67,FIND("|",$A67)-1)),1)),-1)))&gt;=0,TEXT(IFERROR(VALUE(LEFT(LOWER(LEFT($A67,FIND("|",$A67)-1)),3)),IFERROR(VALUE(LEFT(LOWER(LEFT($A67,FIND("|",$A67)-1)),2)),IFERROR(VALUE(LEFT(LOWER(LEFT($A67,FIND("|",$A67)-1)),1)),-1))),"000000")&amp;MID(LOWER(LEFT($A67,FIND("|",$A67)-1)),LEN(TEXT(IFERROR(VALUE(LEFT(LOWER(LEFT($A67,FIND("|",$A67)-1)),3)),IFERROR(VALUE(LEFT(LOWER(LEFT($A67,FIND("|",$A67)-1)),2)),IFERROR(VALUE(LEFT(LOWER(LEFT($A67,FIND("|",$A67)-1)),1)),-1))),"0"))+1,99),LOWER(LEFT($A67,FIND("|",$A67)-1)))&amp;CHAR(9)&amp;TEXT(IF(SUBSTITUTE(MID($A67,FIND("|",$A67)+1,50),"'","")="",0,IFERROR(VALUE(SUBSTITUTE(MID($A67,FIND("|",$A67)+1,50),"'","")),999999)),"000000")&amp;CHAR(9)&amp;TEXT($B67,"0000"))</f>
        <v/>
      </c>
      <c r="E67" s="4">
        <f>IF($D67="","",SUMPRODUCT(($D$5:$D$364&lt;&gt;"")*($D$5:$D$364&lt;$D67))+1)</f>
        <v/>
      </c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70">
      <c r="A68" s="4">
        <f t="array" ref="A68">IF(N(INDIRECT("'Pull Sheet'!I10"))&gt;0,INDIRECT("'Pull Sheet'!G10")&amp;"|"&amp;INDIRECT("'Pull Sheet'!H10"),"")</f>
        <v/>
      </c>
      <c r="B68" s="4">
        <f>IF(AND($A68&lt;&gt;"",COUNTIF($A$5:$A68,$A68)=1),MAX($B$4:$B67)+1,"")</f>
        <v/>
      </c>
      <c r="C68" s="4">
        <f t="array" ref="C68">IF($A68="","",N(INDIRECT("'Pull Sheet'!I10")))</f>
        <v/>
      </c>
      <c r="D68" s="4">
        <f>IF($B68="","",IF(IFERROR(VALUE(LEFT(LOWER(LEFT($A68,FIND("|",$A68)-1)),3)),IFERROR(VALUE(LEFT(LOWER(LEFT($A68,FIND("|",$A68)-1)),2)),IFERROR(VALUE(LEFT(LOWER(LEFT($A68,FIND("|",$A68)-1)),1)),-1)))&gt;=0,TEXT(IFERROR(VALUE(LEFT(LOWER(LEFT($A68,FIND("|",$A68)-1)),3)),IFERROR(VALUE(LEFT(LOWER(LEFT($A68,FIND("|",$A68)-1)),2)),IFERROR(VALUE(LEFT(LOWER(LEFT($A68,FIND("|",$A68)-1)),1)),-1))),"000000")&amp;MID(LOWER(LEFT($A68,FIND("|",$A68)-1)),LEN(TEXT(IFERROR(VALUE(LEFT(LOWER(LEFT($A68,FIND("|",$A68)-1)),3)),IFERROR(VALUE(LEFT(LOWER(LEFT($A68,FIND("|",$A68)-1)),2)),IFERROR(VALUE(LEFT(LOWER(LEFT($A68,FIND("|",$A68)-1)),1)),-1))),"0"))+1,99),LOWER(LEFT($A68,FIND("|",$A68)-1)))&amp;CHAR(9)&amp;TEXT(IF(SUBSTITUTE(MID($A68,FIND("|",$A68)+1,50),"'","")="",0,IFERROR(VALUE(SUBSTITUTE(MID($A68,FIND("|",$A68)+1,50),"'","")),999999)),"000000")&amp;CHAR(9)&amp;TEXT($B68,"0000"))</f>
        <v/>
      </c>
      <c r="E68" s="4">
        <f>IF($D68="","",SUMPRODUCT(($D$5:$D$364&lt;&gt;"")*($D$5:$D$364&lt;$D68))+1)</f>
        <v/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70">
      <c r="A69" s="4">
        <f t="array" ref="A69">IF(N(INDIRECT("'Pull Sheet'!I11"))&gt;0,INDIRECT("'Pull Sheet'!G11")&amp;"|"&amp;INDIRECT("'Pull Sheet'!H11"),"")</f>
        <v/>
      </c>
      <c r="B69" s="4">
        <f>IF(AND($A69&lt;&gt;"",COUNTIF($A$5:$A69,$A69)=1),MAX($B$4:$B68)+1,"")</f>
        <v/>
      </c>
      <c r="C69" s="4">
        <f t="array" ref="C69">IF($A69="","",N(INDIRECT("'Pull Sheet'!I11")))</f>
        <v/>
      </c>
      <c r="D69" s="4">
        <f>IF($B69="","",IF(IFERROR(VALUE(LEFT(LOWER(LEFT($A69,FIND("|",$A69)-1)),3)),IFERROR(VALUE(LEFT(LOWER(LEFT($A69,FIND("|",$A69)-1)),2)),IFERROR(VALUE(LEFT(LOWER(LEFT($A69,FIND("|",$A69)-1)),1)),-1)))&gt;=0,TEXT(IFERROR(VALUE(LEFT(LOWER(LEFT($A69,FIND("|",$A69)-1)),3)),IFERROR(VALUE(LEFT(LOWER(LEFT($A69,FIND("|",$A69)-1)),2)),IFERROR(VALUE(LEFT(LOWER(LEFT($A69,FIND("|",$A69)-1)),1)),-1))),"000000")&amp;MID(LOWER(LEFT($A69,FIND("|",$A69)-1)),LEN(TEXT(IFERROR(VALUE(LEFT(LOWER(LEFT($A69,FIND("|",$A69)-1)),3)),IFERROR(VALUE(LEFT(LOWER(LEFT($A69,FIND("|",$A69)-1)),2)),IFERROR(VALUE(LEFT(LOWER(LEFT($A69,FIND("|",$A69)-1)),1)),-1))),"0"))+1,99),LOWER(LEFT($A69,FIND("|",$A69)-1)))&amp;CHAR(9)&amp;TEXT(IF(SUBSTITUTE(MID($A69,FIND("|",$A69)+1,50),"'","")="",0,IFERROR(VALUE(SUBSTITUTE(MID($A69,FIND("|",$A69)+1,50),"'","")),999999)),"000000")&amp;CHAR(9)&amp;TEXT($B69,"0000"))</f>
        <v/>
      </c>
      <c r="E69" s="4">
        <f>IF($D69="","",SUMPRODUCT(($D$5:$D$364&lt;&gt;"")*($D$5:$D$364&lt;$D69))+1)</f>
        <v/>
      </c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70">
      <c r="A70" s="4">
        <f t="array" ref="A70">IF(N(INDIRECT("'Pull Sheet'!I12"))&gt;0,INDIRECT("'Pull Sheet'!G12")&amp;"|"&amp;INDIRECT("'Pull Sheet'!H12"),"")</f>
        <v/>
      </c>
      <c r="B70" s="4">
        <f>IF(AND($A70&lt;&gt;"",COUNTIF($A$5:$A70,$A70)=1),MAX($B$4:$B69)+1,"")</f>
        <v/>
      </c>
      <c r="C70" s="4">
        <f t="array" ref="C70">IF($A70="","",N(INDIRECT("'Pull Sheet'!I12")))</f>
        <v/>
      </c>
      <c r="D70" s="4">
        <f>IF($B70="","",IF(IFERROR(VALUE(LEFT(LOWER(LEFT($A70,FIND("|",$A70)-1)),3)),IFERROR(VALUE(LEFT(LOWER(LEFT($A70,FIND("|",$A70)-1)),2)),IFERROR(VALUE(LEFT(LOWER(LEFT($A70,FIND("|",$A70)-1)),1)),-1)))&gt;=0,TEXT(IFERROR(VALUE(LEFT(LOWER(LEFT($A70,FIND("|",$A70)-1)),3)),IFERROR(VALUE(LEFT(LOWER(LEFT($A70,FIND("|",$A70)-1)),2)),IFERROR(VALUE(LEFT(LOWER(LEFT($A70,FIND("|",$A70)-1)),1)),-1))),"000000")&amp;MID(LOWER(LEFT($A70,FIND("|",$A70)-1)),LEN(TEXT(IFERROR(VALUE(LEFT(LOWER(LEFT($A70,FIND("|",$A70)-1)),3)),IFERROR(VALUE(LEFT(LOWER(LEFT($A70,FIND("|",$A70)-1)),2)),IFERROR(VALUE(LEFT(LOWER(LEFT($A70,FIND("|",$A70)-1)),1)),-1))),"0"))+1,99),LOWER(LEFT($A70,FIND("|",$A70)-1)))&amp;CHAR(9)&amp;TEXT(IF(SUBSTITUTE(MID($A70,FIND("|",$A70)+1,50),"'","")="",0,IFERROR(VALUE(SUBSTITUTE(MID($A70,FIND("|",$A70)+1,50),"'","")),999999)),"000000")&amp;CHAR(9)&amp;TEXT($B70,"0000"))</f>
        <v/>
      </c>
      <c r="E70" s="4">
        <f>IF($D70="","",SUMPRODUCT(($D$5:$D$364&lt;&gt;"")*($D$5:$D$364&lt;$D70))+1)</f>
        <v/>
      </c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70">
      <c r="A71" s="4">
        <f t="array" ref="A71">IF(N(INDIRECT("'Pull Sheet'!I13"))&gt;0,INDIRECT("'Pull Sheet'!G13")&amp;"|"&amp;INDIRECT("'Pull Sheet'!H13"),"")</f>
        <v/>
      </c>
      <c r="B71" s="4">
        <f>IF(AND($A71&lt;&gt;"",COUNTIF($A$5:$A71,$A71)=1),MAX($B$4:$B70)+1,"")</f>
        <v/>
      </c>
      <c r="C71" s="4">
        <f t="array" ref="C71">IF($A71="","",N(INDIRECT("'Pull Sheet'!I13")))</f>
        <v/>
      </c>
      <c r="D71" s="4">
        <f>IF($B71="","",IF(IFERROR(VALUE(LEFT(LOWER(LEFT($A71,FIND("|",$A71)-1)),3)),IFERROR(VALUE(LEFT(LOWER(LEFT($A71,FIND("|",$A71)-1)),2)),IFERROR(VALUE(LEFT(LOWER(LEFT($A71,FIND("|",$A71)-1)),1)),-1)))&gt;=0,TEXT(IFERROR(VALUE(LEFT(LOWER(LEFT($A71,FIND("|",$A71)-1)),3)),IFERROR(VALUE(LEFT(LOWER(LEFT($A71,FIND("|",$A71)-1)),2)),IFERROR(VALUE(LEFT(LOWER(LEFT($A71,FIND("|",$A71)-1)),1)),-1))),"000000")&amp;MID(LOWER(LEFT($A71,FIND("|",$A71)-1)),LEN(TEXT(IFERROR(VALUE(LEFT(LOWER(LEFT($A71,FIND("|",$A71)-1)),3)),IFERROR(VALUE(LEFT(LOWER(LEFT($A71,FIND("|",$A71)-1)),2)),IFERROR(VALUE(LEFT(LOWER(LEFT($A71,FIND("|",$A71)-1)),1)),-1))),"0"))+1,99),LOWER(LEFT($A71,FIND("|",$A71)-1)))&amp;CHAR(9)&amp;TEXT(IF(SUBSTITUTE(MID($A71,FIND("|",$A71)+1,50),"'","")="",0,IFERROR(VALUE(SUBSTITUTE(MID($A71,FIND("|",$A71)+1,50),"'","")),999999)),"000000")&amp;CHAR(9)&amp;TEXT($B71,"0000"))</f>
        <v/>
      </c>
      <c r="E71" s="4">
        <f>IF($D71="","",SUMPRODUCT(($D$5:$D$364&lt;&gt;"")*($D$5:$D$364&lt;$D71))+1)</f>
        <v/>
      </c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70">
      <c r="A72" s="4">
        <f t="array" ref="A72">IF(N(INDIRECT("'Pull Sheet'!I14"))&gt;0,INDIRECT("'Pull Sheet'!G14")&amp;"|"&amp;INDIRECT("'Pull Sheet'!H14"),"")</f>
        <v/>
      </c>
      <c r="B72" s="4">
        <f>IF(AND($A72&lt;&gt;"",COUNTIF($A$5:$A72,$A72)=1),MAX($B$4:$B71)+1,"")</f>
        <v/>
      </c>
      <c r="C72" s="4">
        <f t="array" ref="C72">IF($A72="","",N(INDIRECT("'Pull Sheet'!I14")))</f>
        <v/>
      </c>
      <c r="D72" s="4">
        <f>IF($B72="","",IF(IFERROR(VALUE(LEFT(LOWER(LEFT($A72,FIND("|",$A72)-1)),3)),IFERROR(VALUE(LEFT(LOWER(LEFT($A72,FIND("|",$A72)-1)),2)),IFERROR(VALUE(LEFT(LOWER(LEFT($A72,FIND("|",$A72)-1)),1)),-1)))&gt;=0,TEXT(IFERROR(VALUE(LEFT(LOWER(LEFT($A72,FIND("|",$A72)-1)),3)),IFERROR(VALUE(LEFT(LOWER(LEFT($A72,FIND("|",$A72)-1)),2)),IFERROR(VALUE(LEFT(LOWER(LEFT($A72,FIND("|",$A72)-1)),1)),-1))),"000000")&amp;MID(LOWER(LEFT($A72,FIND("|",$A72)-1)),LEN(TEXT(IFERROR(VALUE(LEFT(LOWER(LEFT($A72,FIND("|",$A72)-1)),3)),IFERROR(VALUE(LEFT(LOWER(LEFT($A72,FIND("|",$A72)-1)),2)),IFERROR(VALUE(LEFT(LOWER(LEFT($A72,FIND("|",$A72)-1)),1)),-1))),"0"))+1,99),LOWER(LEFT($A72,FIND("|",$A72)-1)))&amp;CHAR(9)&amp;TEXT(IF(SUBSTITUTE(MID($A72,FIND("|",$A72)+1,50),"'","")="",0,IFERROR(VALUE(SUBSTITUTE(MID($A72,FIND("|",$A72)+1,50),"'","")),999999)),"000000")&amp;CHAR(9)&amp;TEXT($B72,"0000"))</f>
        <v/>
      </c>
      <c r="E72" s="4">
        <f>IF($D72="","",SUMPRODUCT(($D$5:$D$364&lt;&gt;"")*($D$5:$D$364&lt;$D72))+1)</f>
        <v/>
      </c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70">
      <c r="A73" s="4">
        <f t="array" ref="A73">IF(N(INDIRECT("'Pull Sheet'!I15"))&gt;0,INDIRECT("'Pull Sheet'!G15")&amp;"|"&amp;INDIRECT("'Pull Sheet'!H15"),"")</f>
        <v/>
      </c>
      <c r="B73" s="4">
        <f>IF(AND($A73&lt;&gt;"",COUNTIF($A$5:$A73,$A73)=1),MAX($B$4:$B72)+1,"")</f>
        <v/>
      </c>
      <c r="C73" s="4">
        <f t="array" ref="C73">IF($A73="","",N(INDIRECT("'Pull Sheet'!I15")))</f>
        <v/>
      </c>
      <c r="D73" s="4">
        <f>IF($B73="","",IF(IFERROR(VALUE(LEFT(LOWER(LEFT($A73,FIND("|",$A73)-1)),3)),IFERROR(VALUE(LEFT(LOWER(LEFT($A73,FIND("|",$A73)-1)),2)),IFERROR(VALUE(LEFT(LOWER(LEFT($A73,FIND("|",$A73)-1)),1)),-1)))&gt;=0,TEXT(IFERROR(VALUE(LEFT(LOWER(LEFT($A73,FIND("|",$A73)-1)),3)),IFERROR(VALUE(LEFT(LOWER(LEFT($A73,FIND("|",$A73)-1)),2)),IFERROR(VALUE(LEFT(LOWER(LEFT($A73,FIND("|",$A73)-1)),1)),-1))),"000000")&amp;MID(LOWER(LEFT($A73,FIND("|",$A73)-1)),LEN(TEXT(IFERROR(VALUE(LEFT(LOWER(LEFT($A73,FIND("|",$A73)-1)),3)),IFERROR(VALUE(LEFT(LOWER(LEFT($A73,FIND("|",$A73)-1)),2)),IFERROR(VALUE(LEFT(LOWER(LEFT($A73,FIND("|",$A73)-1)),1)),-1))),"0"))+1,99),LOWER(LEFT($A73,FIND("|",$A73)-1)))&amp;CHAR(9)&amp;TEXT(IF(SUBSTITUTE(MID($A73,FIND("|",$A73)+1,50),"'","")="",0,IFERROR(VALUE(SUBSTITUTE(MID($A73,FIND("|",$A73)+1,50),"'","")),999999)),"000000")&amp;CHAR(9)&amp;TEXT($B73,"0000"))</f>
        <v/>
      </c>
      <c r="E73" s="4">
        <f>IF($D73="","",SUMPRODUCT(($D$5:$D$364&lt;&gt;"")*($D$5:$D$364&lt;$D73))+1)</f>
        <v/>
      </c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70">
      <c r="A74" s="4">
        <f t="array" ref="A74">IF(N(INDIRECT("'Pull Sheet'!I16"))&gt;0,INDIRECT("'Pull Sheet'!G16")&amp;"|"&amp;INDIRECT("'Pull Sheet'!H16"),"")</f>
        <v/>
      </c>
      <c r="B74" s="4">
        <f>IF(AND($A74&lt;&gt;"",COUNTIF($A$5:$A74,$A74)=1),MAX($B$4:$B73)+1,"")</f>
        <v/>
      </c>
      <c r="C74" s="4">
        <f t="array" ref="C74">IF($A74="","",N(INDIRECT("'Pull Sheet'!I16")))</f>
        <v/>
      </c>
      <c r="D74" s="4">
        <f>IF($B74="","",IF(IFERROR(VALUE(LEFT(LOWER(LEFT($A74,FIND("|",$A74)-1)),3)),IFERROR(VALUE(LEFT(LOWER(LEFT($A74,FIND("|",$A74)-1)),2)),IFERROR(VALUE(LEFT(LOWER(LEFT($A74,FIND("|",$A74)-1)),1)),-1)))&gt;=0,TEXT(IFERROR(VALUE(LEFT(LOWER(LEFT($A74,FIND("|",$A74)-1)),3)),IFERROR(VALUE(LEFT(LOWER(LEFT($A74,FIND("|",$A74)-1)),2)),IFERROR(VALUE(LEFT(LOWER(LEFT($A74,FIND("|",$A74)-1)),1)),-1))),"000000")&amp;MID(LOWER(LEFT($A74,FIND("|",$A74)-1)),LEN(TEXT(IFERROR(VALUE(LEFT(LOWER(LEFT($A74,FIND("|",$A74)-1)),3)),IFERROR(VALUE(LEFT(LOWER(LEFT($A74,FIND("|",$A74)-1)),2)),IFERROR(VALUE(LEFT(LOWER(LEFT($A74,FIND("|",$A74)-1)),1)),-1))),"0"))+1,99),LOWER(LEFT($A74,FIND("|",$A74)-1)))&amp;CHAR(9)&amp;TEXT(IF(SUBSTITUTE(MID($A74,FIND("|",$A74)+1,50),"'","")="",0,IFERROR(VALUE(SUBSTITUTE(MID($A74,FIND("|",$A74)+1,50),"'","")),999999)),"000000")&amp;CHAR(9)&amp;TEXT($B74,"0000"))</f>
        <v/>
      </c>
      <c r="E74" s="4">
        <f>IF($D74="","",SUMPRODUCT(($D$5:$D$364&lt;&gt;"")*($D$5:$D$364&lt;$D74))+1)</f>
        <v/>
      </c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70">
      <c r="A75" s="4">
        <f t="array" ref="A75">IF(N(INDIRECT("'Pull Sheet'!I17"))&gt;0,INDIRECT("'Pull Sheet'!G17")&amp;"|"&amp;INDIRECT("'Pull Sheet'!H17"),"")</f>
        <v/>
      </c>
      <c r="B75" s="4">
        <f>IF(AND($A75&lt;&gt;"",COUNTIF($A$5:$A75,$A75)=1),MAX($B$4:$B74)+1,"")</f>
        <v/>
      </c>
      <c r="C75" s="4">
        <f t="array" ref="C75">IF($A75="","",N(INDIRECT("'Pull Sheet'!I17")))</f>
        <v/>
      </c>
      <c r="D75" s="4">
        <f>IF($B75="","",IF(IFERROR(VALUE(LEFT(LOWER(LEFT($A75,FIND("|",$A75)-1)),3)),IFERROR(VALUE(LEFT(LOWER(LEFT($A75,FIND("|",$A75)-1)),2)),IFERROR(VALUE(LEFT(LOWER(LEFT($A75,FIND("|",$A75)-1)),1)),-1)))&gt;=0,TEXT(IFERROR(VALUE(LEFT(LOWER(LEFT($A75,FIND("|",$A75)-1)),3)),IFERROR(VALUE(LEFT(LOWER(LEFT($A75,FIND("|",$A75)-1)),2)),IFERROR(VALUE(LEFT(LOWER(LEFT($A75,FIND("|",$A75)-1)),1)),-1))),"000000")&amp;MID(LOWER(LEFT($A75,FIND("|",$A75)-1)),LEN(TEXT(IFERROR(VALUE(LEFT(LOWER(LEFT($A75,FIND("|",$A75)-1)),3)),IFERROR(VALUE(LEFT(LOWER(LEFT($A75,FIND("|",$A75)-1)),2)),IFERROR(VALUE(LEFT(LOWER(LEFT($A75,FIND("|",$A75)-1)),1)),-1))),"0"))+1,99),LOWER(LEFT($A75,FIND("|",$A75)-1)))&amp;CHAR(9)&amp;TEXT(IF(SUBSTITUTE(MID($A75,FIND("|",$A75)+1,50),"'","")="",0,IFERROR(VALUE(SUBSTITUTE(MID($A75,FIND("|",$A75)+1,50),"'","")),999999)),"000000")&amp;CHAR(9)&amp;TEXT($B75,"0000"))</f>
        <v/>
      </c>
      <c r="E75" s="4">
        <f>IF($D75="","",SUMPRODUCT(($D$5:$D$364&lt;&gt;"")*($D$5:$D$364&lt;$D75))+1)</f>
        <v/>
      </c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70">
      <c r="A76" s="4">
        <f t="array" ref="A76">IF(N(INDIRECT("'Pull Sheet'!I18"))&gt;0,INDIRECT("'Pull Sheet'!G18")&amp;"|"&amp;INDIRECT("'Pull Sheet'!H18"),"")</f>
        <v/>
      </c>
      <c r="B76" s="4">
        <f>IF(AND($A76&lt;&gt;"",COUNTIF($A$5:$A76,$A76)=1),MAX($B$4:$B75)+1,"")</f>
        <v/>
      </c>
      <c r="C76" s="4">
        <f t="array" ref="C76">IF($A76="","",N(INDIRECT("'Pull Sheet'!I18")))</f>
        <v/>
      </c>
      <c r="D76" s="4">
        <f>IF($B76="","",IF(IFERROR(VALUE(LEFT(LOWER(LEFT($A76,FIND("|",$A76)-1)),3)),IFERROR(VALUE(LEFT(LOWER(LEFT($A76,FIND("|",$A76)-1)),2)),IFERROR(VALUE(LEFT(LOWER(LEFT($A76,FIND("|",$A76)-1)),1)),-1)))&gt;=0,TEXT(IFERROR(VALUE(LEFT(LOWER(LEFT($A76,FIND("|",$A76)-1)),3)),IFERROR(VALUE(LEFT(LOWER(LEFT($A76,FIND("|",$A76)-1)),2)),IFERROR(VALUE(LEFT(LOWER(LEFT($A76,FIND("|",$A76)-1)),1)),-1))),"000000")&amp;MID(LOWER(LEFT($A76,FIND("|",$A76)-1)),LEN(TEXT(IFERROR(VALUE(LEFT(LOWER(LEFT($A76,FIND("|",$A76)-1)),3)),IFERROR(VALUE(LEFT(LOWER(LEFT($A76,FIND("|",$A76)-1)),2)),IFERROR(VALUE(LEFT(LOWER(LEFT($A76,FIND("|",$A76)-1)),1)),-1))),"0"))+1,99),LOWER(LEFT($A76,FIND("|",$A76)-1)))&amp;CHAR(9)&amp;TEXT(IF(SUBSTITUTE(MID($A76,FIND("|",$A76)+1,50),"'","")="",0,IFERROR(VALUE(SUBSTITUTE(MID($A76,FIND("|",$A76)+1,50),"'","")),999999)),"000000")&amp;CHAR(9)&amp;TEXT($B76,"0000"))</f>
        <v/>
      </c>
      <c r="E76" s="4">
        <f>IF($D76="","",SUMPRODUCT(($D$5:$D$364&lt;&gt;"")*($D$5:$D$364&lt;$D76))+1)</f>
        <v/>
      </c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70">
      <c r="A77" s="4">
        <f t="array" ref="A77">IF(N(INDIRECT("'Pull Sheet'!I19"))&gt;0,INDIRECT("'Pull Sheet'!G19")&amp;"|"&amp;INDIRECT("'Pull Sheet'!H19"),"")</f>
        <v/>
      </c>
      <c r="B77" s="4">
        <f>IF(AND($A77&lt;&gt;"",COUNTIF($A$5:$A77,$A77)=1),MAX($B$4:$B76)+1,"")</f>
        <v/>
      </c>
      <c r="C77" s="4">
        <f t="array" ref="C77">IF($A77="","",N(INDIRECT("'Pull Sheet'!I19")))</f>
        <v/>
      </c>
      <c r="D77" s="4">
        <f>IF($B77="","",IF(IFERROR(VALUE(LEFT(LOWER(LEFT($A77,FIND("|",$A77)-1)),3)),IFERROR(VALUE(LEFT(LOWER(LEFT($A77,FIND("|",$A77)-1)),2)),IFERROR(VALUE(LEFT(LOWER(LEFT($A77,FIND("|",$A77)-1)),1)),-1)))&gt;=0,TEXT(IFERROR(VALUE(LEFT(LOWER(LEFT($A77,FIND("|",$A77)-1)),3)),IFERROR(VALUE(LEFT(LOWER(LEFT($A77,FIND("|",$A77)-1)),2)),IFERROR(VALUE(LEFT(LOWER(LEFT($A77,FIND("|",$A77)-1)),1)),-1))),"000000")&amp;MID(LOWER(LEFT($A77,FIND("|",$A77)-1)),LEN(TEXT(IFERROR(VALUE(LEFT(LOWER(LEFT($A77,FIND("|",$A77)-1)),3)),IFERROR(VALUE(LEFT(LOWER(LEFT($A77,FIND("|",$A77)-1)),2)),IFERROR(VALUE(LEFT(LOWER(LEFT($A77,FIND("|",$A77)-1)),1)),-1))),"0"))+1,99),LOWER(LEFT($A77,FIND("|",$A77)-1)))&amp;CHAR(9)&amp;TEXT(IF(SUBSTITUTE(MID($A77,FIND("|",$A77)+1,50),"'","")="",0,IFERROR(VALUE(SUBSTITUTE(MID($A77,FIND("|",$A77)+1,50),"'","")),999999)),"000000")&amp;CHAR(9)&amp;TEXT($B77,"0000"))</f>
        <v/>
      </c>
      <c r="E77" s="4">
        <f>IF($D77="","",SUMPRODUCT(($D$5:$D$364&lt;&gt;"")*($D$5:$D$364&lt;$D77))+1)</f>
        <v/>
      </c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70">
      <c r="A78" s="4">
        <f t="array" ref="A78">IF(N(INDIRECT("'Pull Sheet'!I20"))&gt;0,INDIRECT("'Pull Sheet'!G20")&amp;"|"&amp;INDIRECT("'Pull Sheet'!H20"),"")</f>
        <v/>
      </c>
      <c r="B78" s="4">
        <f>IF(AND($A78&lt;&gt;"",COUNTIF($A$5:$A78,$A78)=1),MAX($B$4:$B77)+1,"")</f>
        <v/>
      </c>
      <c r="C78" s="4">
        <f t="array" ref="C78">IF($A78="","",N(INDIRECT("'Pull Sheet'!I20")))</f>
        <v/>
      </c>
      <c r="D78" s="4">
        <f>IF($B78="","",IF(IFERROR(VALUE(LEFT(LOWER(LEFT($A78,FIND("|",$A78)-1)),3)),IFERROR(VALUE(LEFT(LOWER(LEFT($A78,FIND("|",$A78)-1)),2)),IFERROR(VALUE(LEFT(LOWER(LEFT($A78,FIND("|",$A78)-1)),1)),-1)))&gt;=0,TEXT(IFERROR(VALUE(LEFT(LOWER(LEFT($A78,FIND("|",$A78)-1)),3)),IFERROR(VALUE(LEFT(LOWER(LEFT($A78,FIND("|",$A78)-1)),2)),IFERROR(VALUE(LEFT(LOWER(LEFT($A78,FIND("|",$A78)-1)),1)),-1))),"000000")&amp;MID(LOWER(LEFT($A78,FIND("|",$A78)-1)),LEN(TEXT(IFERROR(VALUE(LEFT(LOWER(LEFT($A78,FIND("|",$A78)-1)),3)),IFERROR(VALUE(LEFT(LOWER(LEFT($A78,FIND("|",$A78)-1)),2)),IFERROR(VALUE(LEFT(LOWER(LEFT($A78,FIND("|",$A78)-1)),1)),-1))),"0"))+1,99),LOWER(LEFT($A78,FIND("|",$A78)-1)))&amp;CHAR(9)&amp;TEXT(IF(SUBSTITUTE(MID($A78,FIND("|",$A78)+1,50),"'","")="",0,IFERROR(VALUE(SUBSTITUTE(MID($A78,FIND("|",$A78)+1,50),"'","")),999999)),"000000")&amp;CHAR(9)&amp;TEXT($B78,"0000"))</f>
        <v/>
      </c>
      <c r="E78" s="4">
        <f>IF($D78="","",SUMPRODUCT(($D$5:$D$364&lt;&gt;"")*($D$5:$D$364&lt;$D78))+1)</f>
        <v/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70">
      <c r="A79" s="4">
        <f t="array" ref="A79">IF(N(INDIRECT("'Pull Sheet'!I21"))&gt;0,INDIRECT("'Pull Sheet'!G21")&amp;"|"&amp;INDIRECT("'Pull Sheet'!H21"),"")</f>
        <v/>
      </c>
      <c r="B79" s="4">
        <f>IF(AND($A79&lt;&gt;"",COUNTIF($A$5:$A79,$A79)=1),MAX($B$4:$B78)+1,"")</f>
        <v/>
      </c>
      <c r="C79" s="4">
        <f t="array" ref="C79">IF($A79="","",N(INDIRECT("'Pull Sheet'!I21")))</f>
        <v/>
      </c>
      <c r="D79" s="4">
        <f>IF($B79="","",IF(IFERROR(VALUE(LEFT(LOWER(LEFT($A79,FIND("|",$A79)-1)),3)),IFERROR(VALUE(LEFT(LOWER(LEFT($A79,FIND("|",$A79)-1)),2)),IFERROR(VALUE(LEFT(LOWER(LEFT($A79,FIND("|",$A79)-1)),1)),-1)))&gt;=0,TEXT(IFERROR(VALUE(LEFT(LOWER(LEFT($A79,FIND("|",$A79)-1)),3)),IFERROR(VALUE(LEFT(LOWER(LEFT($A79,FIND("|",$A79)-1)),2)),IFERROR(VALUE(LEFT(LOWER(LEFT($A79,FIND("|",$A79)-1)),1)),-1))),"000000")&amp;MID(LOWER(LEFT($A79,FIND("|",$A79)-1)),LEN(TEXT(IFERROR(VALUE(LEFT(LOWER(LEFT($A79,FIND("|",$A79)-1)),3)),IFERROR(VALUE(LEFT(LOWER(LEFT($A79,FIND("|",$A79)-1)),2)),IFERROR(VALUE(LEFT(LOWER(LEFT($A79,FIND("|",$A79)-1)),1)),-1))),"0"))+1,99),LOWER(LEFT($A79,FIND("|",$A79)-1)))&amp;CHAR(9)&amp;TEXT(IF(SUBSTITUTE(MID($A79,FIND("|",$A79)+1,50),"'","")="",0,IFERROR(VALUE(SUBSTITUTE(MID($A79,FIND("|",$A79)+1,50),"'","")),999999)),"000000")&amp;CHAR(9)&amp;TEXT($B79,"0000"))</f>
        <v/>
      </c>
      <c r="E79" s="4">
        <f>IF($D79="","",SUMPRODUCT(($D$5:$D$364&lt;&gt;"")*($D$5:$D$364&lt;$D79))+1)</f>
        <v/>
      </c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70">
      <c r="A80" s="4">
        <f t="array" ref="A80">IF(N(INDIRECT("'Pull Sheet'!I22"))&gt;0,INDIRECT("'Pull Sheet'!G22")&amp;"|"&amp;INDIRECT("'Pull Sheet'!H22"),"")</f>
        <v/>
      </c>
      <c r="B80" s="4">
        <f>IF(AND($A80&lt;&gt;"",COUNTIF($A$5:$A80,$A80)=1),MAX($B$4:$B79)+1,"")</f>
        <v/>
      </c>
      <c r="C80" s="4">
        <f t="array" ref="C80">IF($A80="","",N(INDIRECT("'Pull Sheet'!I22")))</f>
        <v/>
      </c>
      <c r="D80" s="4">
        <f>IF($B80="","",IF(IFERROR(VALUE(LEFT(LOWER(LEFT($A80,FIND("|",$A80)-1)),3)),IFERROR(VALUE(LEFT(LOWER(LEFT($A80,FIND("|",$A80)-1)),2)),IFERROR(VALUE(LEFT(LOWER(LEFT($A80,FIND("|",$A80)-1)),1)),-1)))&gt;=0,TEXT(IFERROR(VALUE(LEFT(LOWER(LEFT($A80,FIND("|",$A80)-1)),3)),IFERROR(VALUE(LEFT(LOWER(LEFT($A80,FIND("|",$A80)-1)),2)),IFERROR(VALUE(LEFT(LOWER(LEFT($A80,FIND("|",$A80)-1)),1)),-1))),"000000")&amp;MID(LOWER(LEFT($A80,FIND("|",$A80)-1)),LEN(TEXT(IFERROR(VALUE(LEFT(LOWER(LEFT($A80,FIND("|",$A80)-1)),3)),IFERROR(VALUE(LEFT(LOWER(LEFT($A80,FIND("|",$A80)-1)),2)),IFERROR(VALUE(LEFT(LOWER(LEFT($A80,FIND("|",$A80)-1)),1)),-1))),"0"))+1,99),LOWER(LEFT($A80,FIND("|",$A80)-1)))&amp;CHAR(9)&amp;TEXT(IF(SUBSTITUTE(MID($A80,FIND("|",$A80)+1,50),"'","")="",0,IFERROR(VALUE(SUBSTITUTE(MID($A80,FIND("|",$A80)+1,50),"'","")),999999)),"000000")&amp;CHAR(9)&amp;TEXT($B80,"0000"))</f>
        <v/>
      </c>
      <c r="E80" s="4">
        <f>IF($D80="","",SUMPRODUCT(($D$5:$D$364&lt;&gt;"")*($D$5:$D$364&lt;$D80))+1)</f>
        <v/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70">
      <c r="A81" s="4">
        <f t="array" ref="A81">IF(N(INDIRECT("'Pull Sheet'!I23"))&gt;0,INDIRECT("'Pull Sheet'!G23")&amp;"|"&amp;INDIRECT("'Pull Sheet'!H23"),"")</f>
        <v/>
      </c>
      <c r="B81" s="4">
        <f>IF(AND($A81&lt;&gt;"",COUNTIF($A$5:$A81,$A81)=1),MAX($B$4:$B80)+1,"")</f>
        <v/>
      </c>
      <c r="C81" s="4">
        <f t="array" ref="C81">IF($A81="","",N(INDIRECT("'Pull Sheet'!I23")))</f>
        <v/>
      </c>
      <c r="D81" s="4">
        <f>IF($B81="","",IF(IFERROR(VALUE(LEFT(LOWER(LEFT($A81,FIND("|",$A81)-1)),3)),IFERROR(VALUE(LEFT(LOWER(LEFT($A81,FIND("|",$A81)-1)),2)),IFERROR(VALUE(LEFT(LOWER(LEFT($A81,FIND("|",$A81)-1)),1)),-1)))&gt;=0,TEXT(IFERROR(VALUE(LEFT(LOWER(LEFT($A81,FIND("|",$A81)-1)),3)),IFERROR(VALUE(LEFT(LOWER(LEFT($A81,FIND("|",$A81)-1)),2)),IFERROR(VALUE(LEFT(LOWER(LEFT($A81,FIND("|",$A81)-1)),1)),-1))),"000000")&amp;MID(LOWER(LEFT($A81,FIND("|",$A81)-1)),LEN(TEXT(IFERROR(VALUE(LEFT(LOWER(LEFT($A81,FIND("|",$A81)-1)),3)),IFERROR(VALUE(LEFT(LOWER(LEFT($A81,FIND("|",$A81)-1)),2)),IFERROR(VALUE(LEFT(LOWER(LEFT($A81,FIND("|",$A81)-1)),1)),-1))),"0"))+1,99),LOWER(LEFT($A81,FIND("|",$A81)-1)))&amp;CHAR(9)&amp;TEXT(IF(SUBSTITUTE(MID($A81,FIND("|",$A81)+1,50),"'","")="",0,IFERROR(VALUE(SUBSTITUTE(MID($A81,FIND("|",$A81)+1,50),"'","")),999999)),"000000")&amp;CHAR(9)&amp;TEXT($B81,"0000"))</f>
        <v/>
      </c>
      <c r="E81" s="4">
        <f>IF($D81="","",SUMPRODUCT(($D$5:$D$364&lt;&gt;"")*($D$5:$D$364&lt;$D81))+1)</f>
        <v/>
      </c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70">
      <c r="A82" s="4">
        <f t="array" ref="A82">IF(N(INDIRECT("'Pull Sheet'!I24"))&gt;0,INDIRECT("'Pull Sheet'!G24")&amp;"|"&amp;INDIRECT("'Pull Sheet'!H24"),"")</f>
        <v/>
      </c>
      <c r="B82" s="4">
        <f>IF(AND($A82&lt;&gt;"",COUNTIF($A$5:$A82,$A82)=1),MAX($B$4:$B81)+1,"")</f>
        <v/>
      </c>
      <c r="C82" s="4">
        <f t="array" ref="C82">IF($A82="","",N(INDIRECT("'Pull Sheet'!I24")))</f>
        <v/>
      </c>
      <c r="D82" s="4">
        <f>IF($B82="","",IF(IFERROR(VALUE(LEFT(LOWER(LEFT($A82,FIND("|",$A82)-1)),3)),IFERROR(VALUE(LEFT(LOWER(LEFT($A82,FIND("|",$A82)-1)),2)),IFERROR(VALUE(LEFT(LOWER(LEFT($A82,FIND("|",$A82)-1)),1)),-1)))&gt;=0,TEXT(IFERROR(VALUE(LEFT(LOWER(LEFT($A82,FIND("|",$A82)-1)),3)),IFERROR(VALUE(LEFT(LOWER(LEFT($A82,FIND("|",$A82)-1)),2)),IFERROR(VALUE(LEFT(LOWER(LEFT($A82,FIND("|",$A82)-1)),1)),-1))),"000000")&amp;MID(LOWER(LEFT($A82,FIND("|",$A82)-1)),LEN(TEXT(IFERROR(VALUE(LEFT(LOWER(LEFT($A82,FIND("|",$A82)-1)),3)),IFERROR(VALUE(LEFT(LOWER(LEFT($A82,FIND("|",$A82)-1)),2)),IFERROR(VALUE(LEFT(LOWER(LEFT($A82,FIND("|",$A82)-1)),1)),-1))),"0"))+1,99),LOWER(LEFT($A82,FIND("|",$A82)-1)))&amp;CHAR(9)&amp;TEXT(IF(SUBSTITUTE(MID($A82,FIND("|",$A82)+1,50),"'","")="",0,IFERROR(VALUE(SUBSTITUTE(MID($A82,FIND("|",$A82)+1,50),"'","")),999999)),"000000")&amp;CHAR(9)&amp;TEXT($B82,"0000"))</f>
        <v/>
      </c>
      <c r="E82" s="4">
        <f>IF($D82="","",SUMPRODUCT(($D$5:$D$364&lt;&gt;"")*($D$5:$D$364&lt;$D82))+1)</f>
        <v/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70">
      <c r="A83" s="4">
        <f t="array" ref="A83">IF(N(INDIRECT("'Pull Sheet'!I25"))&gt;0,INDIRECT("'Pull Sheet'!G25")&amp;"|"&amp;INDIRECT("'Pull Sheet'!H25"),"")</f>
        <v/>
      </c>
      <c r="B83" s="4">
        <f>IF(AND($A83&lt;&gt;"",COUNTIF($A$5:$A83,$A83)=1),MAX($B$4:$B82)+1,"")</f>
        <v/>
      </c>
      <c r="C83" s="4">
        <f t="array" ref="C83">IF($A83="","",N(INDIRECT("'Pull Sheet'!I25")))</f>
        <v/>
      </c>
      <c r="D83" s="4">
        <f>IF($B83="","",IF(IFERROR(VALUE(LEFT(LOWER(LEFT($A83,FIND("|",$A83)-1)),3)),IFERROR(VALUE(LEFT(LOWER(LEFT($A83,FIND("|",$A83)-1)),2)),IFERROR(VALUE(LEFT(LOWER(LEFT($A83,FIND("|",$A83)-1)),1)),-1)))&gt;=0,TEXT(IFERROR(VALUE(LEFT(LOWER(LEFT($A83,FIND("|",$A83)-1)),3)),IFERROR(VALUE(LEFT(LOWER(LEFT($A83,FIND("|",$A83)-1)),2)),IFERROR(VALUE(LEFT(LOWER(LEFT($A83,FIND("|",$A83)-1)),1)),-1))),"000000")&amp;MID(LOWER(LEFT($A83,FIND("|",$A83)-1)),LEN(TEXT(IFERROR(VALUE(LEFT(LOWER(LEFT($A83,FIND("|",$A83)-1)),3)),IFERROR(VALUE(LEFT(LOWER(LEFT($A83,FIND("|",$A83)-1)),2)),IFERROR(VALUE(LEFT(LOWER(LEFT($A83,FIND("|",$A83)-1)),1)),-1))),"0"))+1,99),LOWER(LEFT($A83,FIND("|",$A83)-1)))&amp;CHAR(9)&amp;TEXT(IF(SUBSTITUTE(MID($A83,FIND("|",$A83)+1,50),"'","")="",0,IFERROR(VALUE(SUBSTITUTE(MID($A83,FIND("|",$A83)+1,50),"'","")),999999)),"000000")&amp;CHAR(9)&amp;TEXT($B83,"0000"))</f>
        <v/>
      </c>
      <c r="E83" s="4">
        <f>IF($D83="","",SUMPRODUCT(($D$5:$D$364&lt;&gt;"")*($D$5:$D$364&lt;$D83))+1)</f>
        <v/>
      </c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70">
      <c r="A84" s="4">
        <f t="array" ref="A84">IF(N(INDIRECT("'Pull Sheet'!I26"))&gt;0,INDIRECT("'Pull Sheet'!G26")&amp;"|"&amp;INDIRECT("'Pull Sheet'!H26"),"")</f>
        <v/>
      </c>
      <c r="B84" s="4">
        <f>IF(AND($A84&lt;&gt;"",COUNTIF($A$5:$A84,$A84)=1),MAX($B$4:$B83)+1,"")</f>
        <v/>
      </c>
      <c r="C84" s="4">
        <f t="array" ref="C84">IF($A84="","",N(INDIRECT("'Pull Sheet'!I26")))</f>
        <v/>
      </c>
      <c r="D84" s="4">
        <f>IF($B84="","",IF(IFERROR(VALUE(LEFT(LOWER(LEFT($A84,FIND("|",$A84)-1)),3)),IFERROR(VALUE(LEFT(LOWER(LEFT($A84,FIND("|",$A84)-1)),2)),IFERROR(VALUE(LEFT(LOWER(LEFT($A84,FIND("|",$A84)-1)),1)),-1)))&gt;=0,TEXT(IFERROR(VALUE(LEFT(LOWER(LEFT($A84,FIND("|",$A84)-1)),3)),IFERROR(VALUE(LEFT(LOWER(LEFT($A84,FIND("|",$A84)-1)),2)),IFERROR(VALUE(LEFT(LOWER(LEFT($A84,FIND("|",$A84)-1)),1)),-1))),"000000")&amp;MID(LOWER(LEFT($A84,FIND("|",$A84)-1)),LEN(TEXT(IFERROR(VALUE(LEFT(LOWER(LEFT($A84,FIND("|",$A84)-1)),3)),IFERROR(VALUE(LEFT(LOWER(LEFT($A84,FIND("|",$A84)-1)),2)),IFERROR(VALUE(LEFT(LOWER(LEFT($A84,FIND("|",$A84)-1)),1)),-1))),"0"))+1,99),LOWER(LEFT($A84,FIND("|",$A84)-1)))&amp;CHAR(9)&amp;TEXT(IF(SUBSTITUTE(MID($A84,FIND("|",$A84)+1,50),"'","")="",0,IFERROR(VALUE(SUBSTITUTE(MID($A84,FIND("|",$A84)+1,50),"'","")),999999)),"000000")&amp;CHAR(9)&amp;TEXT($B84,"0000"))</f>
        <v/>
      </c>
      <c r="E84" s="4">
        <f>IF($D84="","",SUMPRODUCT(($D$5:$D$364&lt;&gt;"")*($D$5:$D$364&lt;$D84))+1)</f>
        <v/>
      </c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70">
      <c r="A85" s="4">
        <f t="array" ref="A85">IF(N(INDIRECT("'Pull Sheet'!I27"))&gt;0,INDIRECT("'Pull Sheet'!G27")&amp;"|"&amp;INDIRECT("'Pull Sheet'!H27"),"")</f>
        <v/>
      </c>
      <c r="B85" s="4">
        <f>IF(AND($A85&lt;&gt;"",COUNTIF($A$5:$A85,$A85)=1),MAX($B$4:$B84)+1,"")</f>
        <v/>
      </c>
      <c r="C85" s="4">
        <f t="array" ref="C85">IF($A85="","",N(INDIRECT("'Pull Sheet'!I27")))</f>
        <v/>
      </c>
      <c r="D85" s="4">
        <f>IF($B85="","",IF(IFERROR(VALUE(LEFT(LOWER(LEFT($A85,FIND("|",$A85)-1)),3)),IFERROR(VALUE(LEFT(LOWER(LEFT($A85,FIND("|",$A85)-1)),2)),IFERROR(VALUE(LEFT(LOWER(LEFT($A85,FIND("|",$A85)-1)),1)),-1)))&gt;=0,TEXT(IFERROR(VALUE(LEFT(LOWER(LEFT($A85,FIND("|",$A85)-1)),3)),IFERROR(VALUE(LEFT(LOWER(LEFT($A85,FIND("|",$A85)-1)),2)),IFERROR(VALUE(LEFT(LOWER(LEFT($A85,FIND("|",$A85)-1)),1)),-1))),"000000")&amp;MID(LOWER(LEFT($A85,FIND("|",$A85)-1)),LEN(TEXT(IFERROR(VALUE(LEFT(LOWER(LEFT($A85,FIND("|",$A85)-1)),3)),IFERROR(VALUE(LEFT(LOWER(LEFT($A85,FIND("|",$A85)-1)),2)),IFERROR(VALUE(LEFT(LOWER(LEFT($A85,FIND("|",$A85)-1)),1)),-1))),"0"))+1,99),LOWER(LEFT($A85,FIND("|",$A85)-1)))&amp;CHAR(9)&amp;TEXT(IF(SUBSTITUTE(MID($A85,FIND("|",$A85)+1,50),"'","")="",0,IFERROR(VALUE(SUBSTITUTE(MID($A85,FIND("|",$A85)+1,50),"'","")),999999)),"000000")&amp;CHAR(9)&amp;TEXT($B85,"0000"))</f>
        <v/>
      </c>
      <c r="E85" s="4">
        <f>IF($D85="","",SUMPRODUCT(($D$5:$D$364&lt;&gt;"")*($D$5:$D$364&lt;$D85))+1)</f>
        <v/>
      </c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70">
      <c r="A86" s="4">
        <f t="array" ref="A86">IF(N(INDIRECT("'Pull Sheet'!I28"))&gt;0,INDIRECT("'Pull Sheet'!G28")&amp;"|"&amp;INDIRECT("'Pull Sheet'!H28"),"")</f>
        <v/>
      </c>
      <c r="B86" s="4">
        <f>IF(AND($A86&lt;&gt;"",COUNTIF($A$5:$A86,$A86)=1),MAX($B$4:$B85)+1,"")</f>
        <v/>
      </c>
      <c r="C86" s="4">
        <f t="array" ref="C86">IF($A86="","",N(INDIRECT("'Pull Sheet'!I28")))</f>
        <v/>
      </c>
      <c r="D86" s="4">
        <f>IF($B86="","",IF(IFERROR(VALUE(LEFT(LOWER(LEFT($A86,FIND("|",$A86)-1)),3)),IFERROR(VALUE(LEFT(LOWER(LEFT($A86,FIND("|",$A86)-1)),2)),IFERROR(VALUE(LEFT(LOWER(LEFT($A86,FIND("|",$A86)-1)),1)),-1)))&gt;=0,TEXT(IFERROR(VALUE(LEFT(LOWER(LEFT($A86,FIND("|",$A86)-1)),3)),IFERROR(VALUE(LEFT(LOWER(LEFT($A86,FIND("|",$A86)-1)),2)),IFERROR(VALUE(LEFT(LOWER(LEFT($A86,FIND("|",$A86)-1)),1)),-1))),"000000")&amp;MID(LOWER(LEFT($A86,FIND("|",$A86)-1)),LEN(TEXT(IFERROR(VALUE(LEFT(LOWER(LEFT($A86,FIND("|",$A86)-1)),3)),IFERROR(VALUE(LEFT(LOWER(LEFT($A86,FIND("|",$A86)-1)),2)),IFERROR(VALUE(LEFT(LOWER(LEFT($A86,FIND("|",$A86)-1)),1)),-1))),"0"))+1,99),LOWER(LEFT($A86,FIND("|",$A86)-1)))&amp;CHAR(9)&amp;TEXT(IF(SUBSTITUTE(MID($A86,FIND("|",$A86)+1,50),"'","")="",0,IFERROR(VALUE(SUBSTITUTE(MID($A86,FIND("|",$A86)+1,50),"'","")),999999)),"000000")&amp;CHAR(9)&amp;TEXT($B86,"0000"))</f>
        <v/>
      </c>
      <c r="E86" s="4">
        <f>IF($D86="","",SUMPRODUCT(($D$5:$D$364&lt;&gt;"")*($D$5:$D$364&lt;$D86))+1)</f>
        <v/>
      </c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70">
      <c r="A87" s="4">
        <f t="array" ref="A87">IF(N(INDIRECT("'Pull Sheet'!I29"))&gt;0,INDIRECT("'Pull Sheet'!G29")&amp;"|"&amp;INDIRECT("'Pull Sheet'!H29"),"")</f>
        <v/>
      </c>
      <c r="B87" s="4">
        <f>IF(AND($A87&lt;&gt;"",COUNTIF($A$5:$A87,$A87)=1),MAX($B$4:$B86)+1,"")</f>
        <v/>
      </c>
      <c r="C87" s="4">
        <f t="array" ref="C87">IF($A87="","",N(INDIRECT("'Pull Sheet'!I29")))</f>
        <v/>
      </c>
      <c r="D87" s="4">
        <f>IF($B87="","",IF(IFERROR(VALUE(LEFT(LOWER(LEFT($A87,FIND("|",$A87)-1)),3)),IFERROR(VALUE(LEFT(LOWER(LEFT($A87,FIND("|",$A87)-1)),2)),IFERROR(VALUE(LEFT(LOWER(LEFT($A87,FIND("|",$A87)-1)),1)),-1)))&gt;=0,TEXT(IFERROR(VALUE(LEFT(LOWER(LEFT($A87,FIND("|",$A87)-1)),3)),IFERROR(VALUE(LEFT(LOWER(LEFT($A87,FIND("|",$A87)-1)),2)),IFERROR(VALUE(LEFT(LOWER(LEFT($A87,FIND("|",$A87)-1)),1)),-1))),"000000")&amp;MID(LOWER(LEFT($A87,FIND("|",$A87)-1)),LEN(TEXT(IFERROR(VALUE(LEFT(LOWER(LEFT($A87,FIND("|",$A87)-1)),3)),IFERROR(VALUE(LEFT(LOWER(LEFT($A87,FIND("|",$A87)-1)),2)),IFERROR(VALUE(LEFT(LOWER(LEFT($A87,FIND("|",$A87)-1)),1)),-1))),"0"))+1,99),LOWER(LEFT($A87,FIND("|",$A87)-1)))&amp;CHAR(9)&amp;TEXT(IF(SUBSTITUTE(MID($A87,FIND("|",$A87)+1,50),"'","")="",0,IFERROR(VALUE(SUBSTITUTE(MID($A87,FIND("|",$A87)+1,50),"'","")),999999)),"000000")&amp;CHAR(9)&amp;TEXT($B87,"0000"))</f>
        <v/>
      </c>
      <c r="E87" s="4">
        <f>IF($D87="","",SUMPRODUCT(($D$5:$D$364&lt;&gt;"")*($D$5:$D$364&lt;$D87))+1)</f>
        <v/>
      </c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70">
      <c r="A88" s="4">
        <f t="array" ref="A88">IF(N(INDIRECT("'Pull Sheet'!I30"))&gt;0,INDIRECT("'Pull Sheet'!G30")&amp;"|"&amp;INDIRECT("'Pull Sheet'!H30"),"")</f>
        <v/>
      </c>
      <c r="B88" s="4">
        <f>IF(AND($A88&lt;&gt;"",COUNTIF($A$5:$A88,$A88)=1),MAX($B$4:$B87)+1,"")</f>
        <v/>
      </c>
      <c r="C88" s="4">
        <f t="array" ref="C88">IF($A88="","",N(INDIRECT("'Pull Sheet'!I30")))</f>
        <v/>
      </c>
      <c r="D88" s="4">
        <f>IF($B88="","",IF(IFERROR(VALUE(LEFT(LOWER(LEFT($A88,FIND("|",$A88)-1)),3)),IFERROR(VALUE(LEFT(LOWER(LEFT($A88,FIND("|",$A88)-1)),2)),IFERROR(VALUE(LEFT(LOWER(LEFT($A88,FIND("|",$A88)-1)),1)),-1)))&gt;=0,TEXT(IFERROR(VALUE(LEFT(LOWER(LEFT($A88,FIND("|",$A88)-1)),3)),IFERROR(VALUE(LEFT(LOWER(LEFT($A88,FIND("|",$A88)-1)),2)),IFERROR(VALUE(LEFT(LOWER(LEFT($A88,FIND("|",$A88)-1)),1)),-1))),"000000")&amp;MID(LOWER(LEFT($A88,FIND("|",$A88)-1)),LEN(TEXT(IFERROR(VALUE(LEFT(LOWER(LEFT($A88,FIND("|",$A88)-1)),3)),IFERROR(VALUE(LEFT(LOWER(LEFT($A88,FIND("|",$A88)-1)),2)),IFERROR(VALUE(LEFT(LOWER(LEFT($A88,FIND("|",$A88)-1)),1)),-1))),"0"))+1,99),LOWER(LEFT($A88,FIND("|",$A88)-1)))&amp;CHAR(9)&amp;TEXT(IF(SUBSTITUTE(MID($A88,FIND("|",$A88)+1,50),"'","")="",0,IFERROR(VALUE(SUBSTITUTE(MID($A88,FIND("|",$A88)+1,50),"'","")),999999)),"000000")&amp;CHAR(9)&amp;TEXT($B88,"0000"))</f>
        <v/>
      </c>
      <c r="E88" s="4">
        <f>IF($D88="","",SUMPRODUCT(($D$5:$D$364&lt;&gt;"")*($D$5:$D$364&lt;$D88))+1)</f>
        <v/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70">
      <c r="A89" s="4">
        <f t="array" ref="A89">IF(N(INDIRECT("'Pull Sheet'!I31"))&gt;0,INDIRECT("'Pull Sheet'!G31")&amp;"|"&amp;INDIRECT("'Pull Sheet'!H31"),"")</f>
        <v/>
      </c>
      <c r="B89" s="4">
        <f>IF(AND($A89&lt;&gt;"",COUNTIF($A$5:$A89,$A89)=1),MAX($B$4:$B88)+1,"")</f>
        <v/>
      </c>
      <c r="C89" s="4">
        <f t="array" ref="C89">IF($A89="","",N(INDIRECT("'Pull Sheet'!I31")))</f>
        <v/>
      </c>
      <c r="D89" s="4">
        <f>IF($B89="","",IF(IFERROR(VALUE(LEFT(LOWER(LEFT($A89,FIND("|",$A89)-1)),3)),IFERROR(VALUE(LEFT(LOWER(LEFT($A89,FIND("|",$A89)-1)),2)),IFERROR(VALUE(LEFT(LOWER(LEFT($A89,FIND("|",$A89)-1)),1)),-1)))&gt;=0,TEXT(IFERROR(VALUE(LEFT(LOWER(LEFT($A89,FIND("|",$A89)-1)),3)),IFERROR(VALUE(LEFT(LOWER(LEFT($A89,FIND("|",$A89)-1)),2)),IFERROR(VALUE(LEFT(LOWER(LEFT($A89,FIND("|",$A89)-1)),1)),-1))),"000000")&amp;MID(LOWER(LEFT($A89,FIND("|",$A89)-1)),LEN(TEXT(IFERROR(VALUE(LEFT(LOWER(LEFT($A89,FIND("|",$A89)-1)),3)),IFERROR(VALUE(LEFT(LOWER(LEFT($A89,FIND("|",$A89)-1)),2)),IFERROR(VALUE(LEFT(LOWER(LEFT($A89,FIND("|",$A89)-1)),1)),-1))),"0"))+1,99),LOWER(LEFT($A89,FIND("|",$A89)-1)))&amp;CHAR(9)&amp;TEXT(IF(SUBSTITUTE(MID($A89,FIND("|",$A89)+1,50),"'","")="",0,IFERROR(VALUE(SUBSTITUTE(MID($A89,FIND("|",$A89)+1,50),"'","")),999999)),"000000")&amp;CHAR(9)&amp;TEXT($B89,"0000"))</f>
        <v/>
      </c>
      <c r="E89" s="4">
        <f>IF($D89="","",SUMPRODUCT(($D$5:$D$364&lt;&gt;"")*($D$5:$D$364&lt;$D89))+1)</f>
        <v/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70">
      <c r="A90" s="4">
        <f t="array" ref="A90">IF(N(INDIRECT("'Pull Sheet'!I32"))&gt;0,INDIRECT("'Pull Sheet'!G32")&amp;"|"&amp;INDIRECT("'Pull Sheet'!H32"),"")</f>
        <v/>
      </c>
      <c r="B90" s="4">
        <f>IF(AND($A90&lt;&gt;"",COUNTIF($A$5:$A90,$A90)=1),MAX($B$4:$B89)+1,"")</f>
        <v/>
      </c>
      <c r="C90" s="4">
        <f t="array" ref="C90">IF($A90="","",N(INDIRECT("'Pull Sheet'!I32")))</f>
        <v/>
      </c>
      <c r="D90" s="4">
        <f>IF($B90="","",IF(IFERROR(VALUE(LEFT(LOWER(LEFT($A90,FIND("|",$A90)-1)),3)),IFERROR(VALUE(LEFT(LOWER(LEFT($A90,FIND("|",$A90)-1)),2)),IFERROR(VALUE(LEFT(LOWER(LEFT($A90,FIND("|",$A90)-1)),1)),-1)))&gt;=0,TEXT(IFERROR(VALUE(LEFT(LOWER(LEFT($A90,FIND("|",$A90)-1)),3)),IFERROR(VALUE(LEFT(LOWER(LEFT($A90,FIND("|",$A90)-1)),2)),IFERROR(VALUE(LEFT(LOWER(LEFT($A90,FIND("|",$A90)-1)),1)),-1))),"000000")&amp;MID(LOWER(LEFT($A90,FIND("|",$A90)-1)),LEN(TEXT(IFERROR(VALUE(LEFT(LOWER(LEFT($A90,FIND("|",$A90)-1)),3)),IFERROR(VALUE(LEFT(LOWER(LEFT($A90,FIND("|",$A90)-1)),2)),IFERROR(VALUE(LEFT(LOWER(LEFT($A90,FIND("|",$A90)-1)),1)),-1))),"0"))+1,99),LOWER(LEFT($A90,FIND("|",$A90)-1)))&amp;CHAR(9)&amp;TEXT(IF(SUBSTITUTE(MID($A90,FIND("|",$A90)+1,50),"'","")="",0,IFERROR(VALUE(SUBSTITUTE(MID($A90,FIND("|",$A90)+1,50),"'","")),999999)),"000000")&amp;CHAR(9)&amp;TEXT($B90,"0000"))</f>
        <v/>
      </c>
      <c r="E90" s="4">
        <f>IF($D90="","",SUMPRODUCT(($D$5:$D$364&lt;&gt;"")*($D$5:$D$364&lt;$D90))+1)</f>
        <v/>
      </c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70">
      <c r="A91" s="4">
        <f t="array" ref="A91">IF(N(INDIRECT("'Pull Sheet'!I33"))&gt;0,INDIRECT("'Pull Sheet'!G33")&amp;"|"&amp;INDIRECT("'Pull Sheet'!H33"),"")</f>
        <v/>
      </c>
      <c r="B91" s="4">
        <f>IF(AND($A91&lt;&gt;"",COUNTIF($A$5:$A91,$A91)=1),MAX($B$4:$B90)+1,"")</f>
        <v/>
      </c>
      <c r="C91" s="4">
        <f t="array" ref="C91">IF($A91="","",N(INDIRECT("'Pull Sheet'!I33")))</f>
        <v/>
      </c>
      <c r="D91" s="4">
        <f>IF($B91="","",IF(IFERROR(VALUE(LEFT(LOWER(LEFT($A91,FIND("|",$A91)-1)),3)),IFERROR(VALUE(LEFT(LOWER(LEFT($A91,FIND("|",$A91)-1)),2)),IFERROR(VALUE(LEFT(LOWER(LEFT($A91,FIND("|",$A91)-1)),1)),-1)))&gt;=0,TEXT(IFERROR(VALUE(LEFT(LOWER(LEFT($A91,FIND("|",$A91)-1)),3)),IFERROR(VALUE(LEFT(LOWER(LEFT($A91,FIND("|",$A91)-1)),2)),IFERROR(VALUE(LEFT(LOWER(LEFT($A91,FIND("|",$A91)-1)),1)),-1))),"000000")&amp;MID(LOWER(LEFT($A91,FIND("|",$A91)-1)),LEN(TEXT(IFERROR(VALUE(LEFT(LOWER(LEFT($A91,FIND("|",$A91)-1)),3)),IFERROR(VALUE(LEFT(LOWER(LEFT($A91,FIND("|",$A91)-1)),2)),IFERROR(VALUE(LEFT(LOWER(LEFT($A91,FIND("|",$A91)-1)),1)),-1))),"0"))+1,99),LOWER(LEFT($A91,FIND("|",$A91)-1)))&amp;CHAR(9)&amp;TEXT(IF(SUBSTITUTE(MID($A91,FIND("|",$A91)+1,50),"'","")="",0,IFERROR(VALUE(SUBSTITUTE(MID($A91,FIND("|",$A91)+1,50),"'","")),999999)),"000000")&amp;CHAR(9)&amp;TEXT($B91,"0000"))</f>
        <v/>
      </c>
      <c r="E91" s="4">
        <f>IF($D91="","",SUMPRODUCT(($D$5:$D$364&lt;&gt;"")*($D$5:$D$364&lt;$D91))+1)</f>
        <v/>
      </c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70">
      <c r="A92" s="4">
        <f t="array" ref="A92">IF(N(INDIRECT("'Pull Sheet'!I34"))&gt;0,INDIRECT("'Pull Sheet'!G34")&amp;"|"&amp;INDIRECT("'Pull Sheet'!H34"),"")</f>
        <v/>
      </c>
      <c r="B92" s="4">
        <f>IF(AND($A92&lt;&gt;"",COUNTIF($A$5:$A92,$A92)=1),MAX($B$4:$B91)+1,"")</f>
        <v/>
      </c>
      <c r="C92" s="4">
        <f t="array" ref="C92">IF($A92="","",N(INDIRECT("'Pull Sheet'!I34")))</f>
        <v/>
      </c>
      <c r="D92" s="4">
        <f>IF($B92="","",IF(IFERROR(VALUE(LEFT(LOWER(LEFT($A92,FIND("|",$A92)-1)),3)),IFERROR(VALUE(LEFT(LOWER(LEFT($A92,FIND("|",$A92)-1)),2)),IFERROR(VALUE(LEFT(LOWER(LEFT($A92,FIND("|",$A92)-1)),1)),-1)))&gt;=0,TEXT(IFERROR(VALUE(LEFT(LOWER(LEFT($A92,FIND("|",$A92)-1)),3)),IFERROR(VALUE(LEFT(LOWER(LEFT($A92,FIND("|",$A92)-1)),2)),IFERROR(VALUE(LEFT(LOWER(LEFT($A92,FIND("|",$A92)-1)),1)),-1))),"000000")&amp;MID(LOWER(LEFT($A92,FIND("|",$A92)-1)),LEN(TEXT(IFERROR(VALUE(LEFT(LOWER(LEFT($A92,FIND("|",$A92)-1)),3)),IFERROR(VALUE(LEFT(LOWER(LEFT($A92,FIND("|",$A92)-1)),2)),IFERROR(VALUE(LEFT(LOWER(LEFT($A92,FIND("|",$A92)-1)),1)),-1))),"0"))+1,99),LOWER(LEFT($A92,FIND("|",$A92)-1)))&amp;CHAR(9)&amp;TEXT(IF(SUBSTITUTE(MID($A92,FIND("|",$A92)+1,50),"'","")="",0,IFERROR(VALUE(SUBSTITUTE(MID($A92,FIND("|",$A92)+1,50),"'","")),999999)),"000000")&amp;CHAR(9)&amp;TEXT($B92,"0000"))</f>
        <v/>
      </c>
      <c r="E92" s="4">
        <f>IF($D92="","",SUMPRODUCT(($D$5:$D$364&lt;&gt;"")*($D$5:$D$364&lt;$D92))+1)</f>
        <v/>
      </c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70">
      <c r="A93" s="4">
        <f t="array" ref="A93">IF(N(INDIRECT("'Pull Sheet'!I35"))&gt;0,INDIRECT("'Pull Sheet'!G35")&amp;"|"&amp;INDIRECT("'Pull Sheet'!H35"),"")</f>
        <v/>
      </c>
      <c r="B93" s="4">
        <f>IF(AND($A93&lt;&gt;"",COUNTIF($A$5:$A93,$A93)=1),MAX($B$4:$B92)+1,"")</f>
        <v/>
      </c>
      <c r="C93" s="4">
        <f t="array" ref="C93">IF($A93="","",N(INDIRECT("'Pull Sheet'!I35")))</f>
        <v/>
      </c>
      <c r="D93" s="4">
        <f>IF($B93="","",IF(IFERROR(VALUE(LEFT(LOWER(LEFT($A93,FIND("|",$A93)-1)),3)),IFERROR(VALUE(LEFT(LOWER(LEFT($A93,FIND("|",$A93)-1)),2)),IFERROR(VALUE(LEFT(LOWER(LEFT($A93,FIND("|",$A93)-1)),1)),-1)))&gt;=0,TEXT(IFERROR(VALUE(LEFT(LOWER(LEFT($A93,FIND("|",$A93)-1)),3)),IFERROR(VALUE(LEFT(LOWER(LEFT($A93,FIND("|",$A93)-1)),2)),IFERROR(VALUE(LEFT(LOWER(LEFT($A93,FIND("|",$A93)-1)),1)),-1))),"000000")&amp;MID(LOWER(LEFT($A93,FIND("|",$A93)-1)),LEN(TEXT(IFERROR(VALUE(LEFT(LOWER(LEFT($A93,FIND("|",$A93)-1)),3)),IFERROR(VALUE(LEFT(LOWER(LEFT($A93,FIND("|",$A93)-1)),2)),IFERROR(VALUE(LEFT(LOWER(LEFT($A93,FIND("|",$A93)-1)),1)),-1))),"0"))+1,99),LOWER(LEFT($A93,FIND("|",$A93)-1)))&amp;CHAR(9)&amp;TEXT(IF(SUBSTITUTE(MID($A93,FIND("|",$A93)+1,50),"'","")="",0,IFERROR(VALUE(SUBSTITUTE(MID($A93,FIND("|",$A93)+1,50),"'","")),999999)),"000000")&amp;CHAR(9)&amp;TEXT($B93,"0000"))</f>
        <v/>
      </c>
      <c r="E93" s="4">
        <f>IF($D93="","",SUMPRODUCT(($D$5:$D$364&lt;&gt;"")*($D$5:$D$364&lt;$D93))+1)</f>
        <v/>
      </c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70">
      <c r="A94" s="4">
        <f t="array" ref="A94">IF(N(INDIRECT("'Pull Sheet'!I36"))&gt;0,INDIRECT("'Pull Sheet'!G36")&amp;"|"&amp;INDIRECT("'Pull Sheet'!H36"),"")</f>
        <v/>
      </c>
      <c r="B94" s="4">
        <f>IF(AND($A94&lt;&gt;"",COUNTIF($A$5:$A94,$A94)=1),MAX($B$4:$B93)+1,"")</f>
        <v/>
      </c>
      <c r="C94" s="4">
        <f t="array" ref="C94">IF($A94="","",N(INDIRECT("'Pull Sheet'!I36")))</f>
        <v/>
      </c>
      <c r="D94" s="4">
        <f>IF($B94="","",IF(IFERROR(VALUE(LEFT(LOWER(LEFT($A94,FIND("|",$A94)-1)),3)),IFERROR(VALUE(LEFT(LOWER(LEFT($A94,FIND("|",$A94)-1)),2)),IFERROR(VALUE(LEFT(LOWER(LEFT($A94,FIND("|",$A94)-1)),1)),-1)))&gt;=0,TEXT(IFERROR(VALUE(LEFT(LOWER(LEFT($A94,FIND("|",$A94)-1)),3)),IFERROR(VALUE(LEFT(LOWER(LEFT($A94,FIND("|",$A94)-1)),2)),IFERROR(VALUE(LEFT(LOWER(LEFT($A94,FIND("|",$A94)-1)),1)),-1))),"000000")&amp;MID(LOWER(LEFT($A94,FIND("|",$A94)-1)),LEN(TEXT(IFERROR(VALUE(LEFT(LOWER(LEFT($A94,FIND("|",$A94)-1)),3)),IFERROR(VALUE(LEFT(LOWER(LEFT($A94,FIND("|",$A94)-1)),2)),IFERROR(VALUE(LEFT(LOWER(LEFT($A94,FIND("|",$A94)-1)),1)),-1))),"0"))+1,99),LOWER(LEFT($A94,FIND("|",$A94)-1)))&amp;CHAR(9)&amp;TEXT(IF(SUBSTITUTE(MID($A94,FIND("|",$A94)+1,50),"'","")="",0,IFERROR(VALUE(SUBSTITUTE(MID($A94,FIND("|",$A94)+1,50),"'","")),999999)),"000000")&amp;CHAR(9)&amp;TEXT($B94,"0000"))</f>
        <v/>
      </c>
      <c r="E94" s="4">
        <f>IF($D94="","",SUMPRODUCT(($D$5:$D$364&lt;&gt;"")*($D$5:$D$364&lt;$D94))+1)</f>
        <v/>
      </c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70">
      <c r="A95" s="4">
        <f t="array" ref="A95">IF(N(INDIRECT("'Pull Sheet'!I37"))&gt;0,INDIRECT("'Pull Sheet'!G37")&amp;"|"&amp;INDIRECT("'Pull Sheet'!H37"),"")</f>
        <v/>
      </c>
      <c r="B95" s="4">
        <f>IF(AND($A95&lt;&gt;"",COUNTIF($A$5:$A95,$A95)=1),MAX($B$4:$B94)+1,"")</f>
        <v/>
      </c>
      <c r="C95" s="4">
        <f t="array" ref="C95">IF($A95="","",N(INDIRECT("'Pull Sheet'!I37")))</f>
        <v/>
      </c>
      <c r="D95" s="4">
        <f>IF($B95="","",IF(IFERROR(VALUE(LEFT(LOWER(LEFT($A95,FIND("|",$A95)-1)),3)),IFERROR(VALUE(LEFT(LOWER(LEFT($A95,FIND("|",$A95)-1)),2)),IFERROR(VALUE(LEFT(LOWER(LEFT($A95,FIND("|",$A95)-1)),1)),-1)))&gt;=0,TEXT(IFERROR(VALUE(LEFT(LOWER(LEFT($A95,FIND("|",$A95)-1)),3)),IFERROR(VALUE(LEFT(LOWER(LEFT($A95,FIND("|",$A95)-1)),2)),IFERROR(VALUE(LEFT(LOWER(LEFT($A95,FIND("|",$A95)-1)),1)),-1))),"000000")&amp;MID(LOWER(LEFT($A95,FIND("|",$A95)-1)),LEN(TEXT(IFERROR(VALUE(LEFT(LOWER(LEFT($A95,FIND("|",$A95)-1)),3)),IFERROR(VALUE(LEFT(LOWER(LEFT($A95,FIND("|",$A95)-1)),2)),IFERROR(VALUE(LEFT(LOWER(LEFT($A95,FIND("|",$A95)-1)),1)),-1))),"0"))+1,99),LOWER(LEFT($A95,FIND("|",$A95)-1)))&amp;CHAR(9)&amp;TEXT(IF(SUBSTITUTE(MID($A95,FIND("|",$A95)+1,50),"'","")="",0,IFERROR(VALUE(SUBSTITUTE(MID($A95,FIND("|",$A95)+1,50),"'","")),999999)),"000000")&amp;CHAR(9)&amp;TEXT($B95,"0000"))</f>
        <v/>
      </c>
      <c r="E95" s="4">
        <f>IF($D95="","",SUMPRODUCT(($D$5:$D$364&lt;&gt;"")*($D$5:$D$364&lt;$D95))+1)</f>
        <v/>
      </c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70">
      <c r="A96" s="4">
        <f t="array" ref="A96">IF(N(INDIRECT("'Pull Sheet'!I38"))&gt;0,INDIRECT("'Pull Sheet'!G38")&amp;"|"&amp;INDIRECT("'Pull Sheet'!H38"),"")</f>
        <v/>
      </c>
      <c r="B96" s="4">
        <f>IF(AND($A96&lt;&gt;"",COUNTIF($A$5:$A96,$A96)=1),MAX($B$4:$B95)+1,"")</f>
        <v/>
      </c>
      <c r="C96" s="4">
        <f t="array" ref="C96">IF($A96="","",N(INDIRECT("'Pull Sheet'!I38")))</f>
        <v/>
      </c>
      <c r="D96" s="4">
        <f>IF($B96="","",IF(IFERROR(VALUE(LEFT(LOWER(LEFT($A96,FIND("|",$A96)-1)),3)),IFERROR(VALUE(LEFT(LOWER(LEFT($A96,FIND("|",$A96)-1)),2)),IFERROR(VALUE(LEFT(LOWER(LEFT($A96,FIND("|",$A96)-1)),1)),-1)))&gt;=0,TEXT(IFERROR(VALUE(LEFT(LOWER(LEFT($A96,FIND("|",$A96)-1)),3)),IFERROR(VALUE(LEFT(LOWER(LEFT($A96,FIND("|",$A96)-1)),2)),IFERROR(VALUE(LEFT(LOWER(LEFT($A96,FIND("|",$A96)-1)),1)),-1))),"000000")&amp;MID(LOWER(LEFT($A96,FIND("|",$A96)-1)),LEN(TEXT(IFERROR(VALUE(LEFT(LOWER(LEFT($A96,FIND("|",$A96)-1)),3)),IFERROR(VALUE(LEFT(LOWER(LEFT($A96,FIND("|",$A96)-1)),2)),IFERROR(VALUE(LEFT(LOWER(LEFT($A96,FIND("|",$A96)-1)),1)),-1))),"0"))+1,99),LOWER(LEFT($A96,FIND("|",$A96)-1)))&amp;CHAR(9)&amp;TEXT(IF(SUBSTITUTE(MID($A96,FIND("|",$A96)+1,50),"'","")="",0,IFERROR(VALUE(SUBSTITUTE(MID($A96,FIND("|",$A96)+1,50),"'","")),999999)),"000000")&amp;CHAR(9)&amp;TEXT($B96,"0000"))</f>
        <v/>
      </c>
      <c r="E96" s="4">
        <f>IF($D96="","",SUMPRODUCT(($D$5:$D$364&lt;&gt;"")*($D$5:$D$364&lt;$D96))+1)</f>
        <v/>
      </c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70">
      <c r="A97" s="4">
        <f t="array" ref="A97">IF(N(INDIRECT("'Pull Sheet'!I39"))&gt;0,INDIRECT("'Pull Sheet'!G39")&amp;"|"&amp;INDIRECT("'Pull Sheet'!H39"),"")</f>
        <v/>
      </c>
      <c r="B97" s="4">
        <f>IF(AND($A97&lt;&gt;"",COUNTIF($A$5:$A97,$A97)=1),MAX($B$4:$B96)+1,"")</f>
        <v/>
      </c>
      <c r="C97" s="4">
        <f t="array" ref="C97">IF($A97="","",N(INDIRECT("'Pull Sheet'!I39")))</f>
        <v/>
      </c>
      <c r="D97" s="4">
        <f>IF($B97="","",IF(IFERROR(VALUE(LEFT(LOWER(LEFT($A97,FIND("|",$A97)-1)),3)),IFERROR(VALUE(LEFT(LOWER(LEFT($A97,FIND("|",$A97)-1)),2)),IFERROR(VALUE(LEFT(LOWER(LEFT($A97,FIND("|",$A97)-1)),1)),-1)))&gt;=0,TEXT(IFERROR(VALUE(LEFT(LOWER(LEFT($A97,FIND("|",$A97)-1)),3)),IFERROR(VALUE(LEFT(LOWER(LEFT($A97,FIND("|",$A97)-1)),2)),IFERROR(VALUE(LEFT(LOWER(LEFT($A97,FIND("|",$A97)-1)),1)),-1))),"000000")&amp;MID(LOWER(LEFT($A97,FIND("|",$A97)-1)),LEN(TEXT(IFERROR(VALUE(LEFT(LOWER(LEFT($A97,FIND("|",$A97)-1)),3)),IFERROR(VALUE(LEFT(LOWER(LEFT($A97,FIND("|",$A97)-1)),2)),IFERROR(VALUE(LEFT(LOWER(LEFT($A97,FIND("|",$A97)-1)),1)),-1))),"0"))+1,99),LOWER(LEFT($A97,FIND("|",$A97)-1)))&amp;CHAR(9)&amp;TEXT(IF(SUBSTITUTE(MID($A97,FIND("|",$A97)+1,50),"'","")="",0,IFERROR(VALUE(SUBSTITUTE(MID($A97,FIND("|",$A97)+1,50),"'","")),999999)),"000000")&amp;CHAR(9)&amp;TEXT($B97,"0000"))</f>
        <v/>
      </c>
      <c r="E97" s="4">
        <f>IF($D97="","",SUMPRODUCT(($D$5:$D$364&lt;&gt;"")*($D$5:$D$364&lt;$D97))+1)</f>
        <v/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70">
      <c r="A98" s="4">
        <f t="array" ref="A98">IF(N(INDIRECT("'Pull Sheet'!I40"))&gt;0,INDIRECT("'Pull Sheet'!G40")&amp;"|"&amp;INDIRECT("'Pull Sheet'!H40"),"")</f>
        <v/>
      </c>
      <c r="B98" s="4">
        <f>IF(AND($A98&lt;&gt;"",COUNTIF($A$5:$A98,$A98)=1),MAX($B$4:$B97)+1,"")</f>
        <v/>
      </c>
      <c r="C98" s="4">
        <f t="array" ref="C98">IF($A98="","",N(INDIRECT("'Pull Sheet'!I40")))</f>
        <v/>
      </c>
      <c r="D98" s="4">
        <f>IF($B98="","",IF(IFERROR(VALUE(LEFT(LOWER(LEFT($A98,FIND("|",$A98)-1)),3)),IFERROR(VALUE(LEFT(LOWER(LEFT($A98,FIND("|",$A98)-1)),2)),IFERROR(VALUE(LEFT(LOWER(LEFT($A98,FIND("|",$A98)-1)),1)),-1)))&gt;=0,TEXT(IFERROR(VALUE(LEFT(LOWER(LEFT($A98,FIND("|",$A98)-1)),3)),IFERROR(VALUE(LEFT(LOWER(LEFT($A98,FIND("|",$A98)-1)),2)),IFERROR(VALUE(LEFT(LOWER(LEFT($A98,FIND("|",$A98)-1)),1)),-1))),"000000")&amp;MID(LOWER(LEFT($A98,FIND("|",$A98)-1)),LEN(TEXT(IFERROR(VALUE(LEFT(LOWER(LEFT($A98,FIND("|",$A98)-1)),3)),IFERROR(VALUE(LEFT(LOWER(LEFT($A98,FIND("|",$A98)-1)),2)),IFERROR(VALUE(LEFT(LOWER(LEFT($A98,FIND("|",$A98)-1)),1)),-1))),"0"))+1,99),LOWER(LEFT($A98,FIND("|",$A98)-1)))&amp;CHAR(9)&amp;TEXT(IF(SUBSTITUTE(MID($A98,FIND("|",$A98)+1,50),"'","")="",0,IFERROR(VALUE(SUBSTITUTE(MID($A98,FIND("|",$A98)+1,50),"'","")),999999)),"000000")&amp;CHAR(9)&amp;TEXT($B98,"0000"))</f>
        <v/>
      </c>
      <c r="E98" s="4">
        <f>IF($D98="","",SUMPRODUCT(($D$5:$D$364&lt;&gt;"")*($D$5:$D$364&lt;$D98))+1)</f>
        <v/>
      </c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70">
      <c r="A99" s="4">
        <f t="array" ref="A99">IF(N(INDIRECT("'Pull Sheet'!I41"))&gt;0,INDIRECT("'Pull Sheet'!G41")&amp;"|"&amp;INDIRECT("'Pull Sheet'!H41"),"")</f>
        <v/>
      </c>
      <c r="B99" s="4">
        <f>IF(AND($A99&lt;&gt;"",COUNTIF($A$5:$A99,$A99)=1),MAX($B$4:$B98)+1,"")</f>
        <v/>
      </c>
      <c r="C99" s="4">
        <f t="array" ref="C99">IF($A99="","",N(INDIRECT("'Pull Sheet'!I41")))</f>
        <v/>
      </c>
      <c r="D99" s="4">
        <f>IF($B99="","",IF(IFERROR(VALUE(LEFT(LOWER(LEFT($A99,FIND("|",$A99)-1)),3)),IFERROR(VALUE(LEFT(LOWER(LEFT($A99,FIND("|",$A99)-1)),2)),IFERROR(VALUE(LEFT(LOWER(LEFT($A99,FIND("|",$A99)-1)),1)),-1)))&gt;=0,TEXT(IFERROR(VALUE(LEFT(LOWER(LEFT($A99,FIND("|",$A99)-1)),3)),IFERROR(VALUE(LEFT(LOWER(LEFT($A99,FIND("|",$A99)-1)),2)),IFERROR(VALUE(LEFT(LOWER(LEFT($A99,FIND("|",$A99)-1)),1)),-1))),"000000")&amp;MID(LOWER(LEFT($A99,FIND("|",$A99)-1)),LEN(TEXT(IFERROR(VALUE(LEFT(LOWER(LEFT($A99,FIND("|",$A99)-1)),3)),IFERROR(VALUE(LEFT(LOWER(LEFT($A99,FIND("|",$A99)-1)),2)),IFERROR(VALUE(LEFT(LOWER(LEFT($A99,FIND("|",$A99)-1)),1)),-1))),"0"))+1,99),LOWER(LEFT($A99,FIND("|",$A99)-1)))&amp;CHAR(9)&amp;TEXT(IF(SUBSTITUTE(MID($A99,FIND("|",$A99)+1,50),"'","")="",0,IFERROR(VALUE(SUBSTITUTE(MID($A99,FIND("|",$A99)+1,50),"'","")),999999)),"000000")&amp;CHAR(9)&amp;TEXT($B99,"0000"))</f>
        <v/>
      </c>
      <c r="E99" s="4">
        <f>IF($D99="","",SUMPRODUCT(($D$5:$D$364&lt;&gt;"")*($D$5:$D$364&lt;$D99))+1)</f>
        <v/>
      </c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70">
      <c r="A100" s="4">
        <f t="array" ref="A100">IF(N(INDIRECT("'Pull Sheet'!I42"))&gt;0,INDIRECT("'Pull Sheet'!G42")&amp;"|"&amp;INDIRECT("'Pull Sheet'!H42"),"")</f>
        <v/>
      </c>
      <c r="B100" s="4">
        <f>IF(AND($A100&lt;&gt;"",COUNTIF($A$5:$A100,$A100)=1),MAX($B$4:$B99)+1,"")</f>
        <v/>
      </c>
      <c r="C100" s="4">
        <f t="array" ref="C100">IF($A100="","",N(INDIRECT("'Pull Sheet'!I42")))</f>
        <v/>
      </c>
      <c r="D100" s="4">
        <f>IF($B100="","",IF(IFERROR(VALUE(LEFT(LOWER(LEFT($A100,FIND("|",$A100)-1)),3)),IFERROR(VALUE(LEFT(LOWER(LEFT($A100,FIND("|",$A100)-1)),2)),IFERROR(VALUE(LEFT(LOWER(LEFT($A100,FIND("|",$A100)-1)),1)),-1)))&gt;=0,TEXT(IFERROR(VALUE(LEFT(LOWER(LEFT($A100,FIND("|",$A100)-1)),3)),IFERROR(VALUE(LEFT(LOWER(LEFT($A100,FIND("|",$A100)-1)),2)),IFERROR(VALUE(LEFT(LOWER(LEFT($A100,FIND("|",$A100)-1)),1)),-1))),"000000")&amp;MID(LOWER(LEFT($A100,FIND("|",$A100)-1)),LEN(TEXT(IFERROR(VALUE(LEFT(LOWER(LEFT($A100,FIND("|",$A100)-1)),3)),IFERROR(VALUE(LEFT(LOWER(LEFT($A100,FIND("|",$A100)-1)),2)),IFERROR(VALUE(LEFT(LOWER(LEFT($A100,FIND("|",$A100)-1)),1)),-1))),"0"))+1,99),LOWER(LEFT($A100,FIND("|",$A100)-1)))&amp;CHAR(9)&amp;TEXT(IF(SUBSTITUTE(MID($A100,FIND("|",$A100)+1,50),"'","")="",0,IFERROR(VALUE(SUBSTITUTE(MID($A100,FIND("|",$A100)+1,50),"'","")),999999)),"000000")&amp;CHAR(9)&amp;TEXT($B100,"0000"))</f>
        <v/>
      </c>
      <c r="E100" s="4">
        <f>IF($D100="","",SUMPRODUCT(($D$5:$D$364&lt;&gt;"")*($D$5:$D$364&lt;$D100))+1)</f>
        <v/>
      </c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70">
      <c r="A101" s="4">
        <f t="array" ref="A101">IF(N(INDIRECT("'Pull Sheet'!I43"))&gt;0,INDIRECT("'Pull Sheet'!G43")&amp;"|"&amp;INDIRECT("'Pull Sheet'!H43"),"")</f>
        <v/>
      </c>
      <c r="B101" s="4">
        <f>IF(AND($A101&lt;&gt;"",COUNTIF($A$5:$A101,$A101)=1),MAX($B$4:$B100)+1,"")</f>
        <v/>
      </c>
      <c r="C101" s="4">
        <f t="array" ref="C101">IF($A101="","",N(INDIRECT("'Pull Sheet'!I43")))</f>
        <v/>
      </c>
      <c r="D101" s="4">
        <f>IF($B101="","",IF(IFERROR(VALUE(LEFT(LOWER(LEFT($A101,FIND("|",$A101)-1)),3)),IFERROR(VALUE(LEFT(LOWER(LEFT($A101,FIND("|",$A101)-1)),2)),IFERROR(VALUE(LEFT(LOWER(LEFT($A101,FIND("|",$A101)-1)),1)),-1)))&gt;=0,TEXT(IFERROR(VALUE(LEFT(LOWER(LEFT($A101,FIND("|",$A101)-1)),3)),IFERROR(VALUE(LEFT(LOWER(LEFT($A101,FIND("|",$A101)-1)),2)),IFERROR(VALUE(LEFT(LOWER(LEFT($A101,FIND("|",$A101)-1)),1)),-1))),"000000")&amp;MID(LOWER(LEFT($A101,FIND("|",$A101)-1)),LEN(TEXT(IFERROR(VALUE(LEFT(LOWER(LEFT($A101,FIND("|",$A101)-1)),3)),IFERROR(VALUE(LEFT(LOWER(LEFT($A101,FIND("|",$A101)-1)),2)),IFERROR(VALUE(LEFT(LOWER(LEFT($A101,FIND("|",$A101)-1)),1)),-1))),"0"))+1,99),LOWER(LEFT($A101,FIND("|",$A101)-1)))&amp;CHAR(9)&amp;TEXT(IF(SUBSTITUTE(MID($A101,FIND("|",$A101)+1,50),"'","")="",0,IFERROR(VALUE(SUBSTITUTE(MID($A101,FIND("|",$A101)+1,50),"'","")),999999)),"000000")&amp;CHAR(9)&amp;TEXT($B101,"0000"))</f>
        <v/>
      </c>
      <c r="E101" s="4">
        <f>IF($D101="","",SUMPRODUCT(($D$5:$D$364&lt;&gt;"")*($D$5:$D$364&lt;$D101))+1)</f>
        <v/>
      </c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70">
      <c r="A102" s="4">
        <f t="array" ref="A102">IF(N(INDIRECT("'Pull Sheet'!I44"))&gt;0,INDIRECT("'Pull Sheet'!G44")&amp;"|"&amp;INDIRECT("'Pull Sheet'!H44"),"")</f>
        <v/>
      </c>
      <c r="B102" s="4">
        <f>IF(AND($A102&lt;&gt;"",COUNTIF($A$5:$A102,$A102)=1),MAX($B$4:$B101)+1,"")</f>
        <v/>
      </c>
      <c r="C102" s="4">
        <f t="array" ref="C102">IF($A102="","",N(INDIRECT("'Pull Sheet'!I44")))</f>
        <v/>
      </c>
      <c r="D102" s="4">
        <f>IF($B102="","",IF(IFERROR(VALUE(LEFT(LOWER(LEFT($A102,FIND("|",$A102)-1)),3)),IFERROR(VALUE(LEFT(LOWER(LEFT($A102,FIND("|",$A102)-1)),2)),IFERROR(VALUE(LEFT(LOWER(LEFT($A102,FIND("|",$A102)-1)),1)),-1)))&gt;=0,TEXT(IFERROR(VALUE(LEFT(LOWER(LEFT($A102,FIND("|",$A102)-1)),3)),IFERROR(VALUE(LEFT(LOWER(LEFT($A102,FIND("|",$A102)-1)),2)),IFERROR(VALUE(LEFT(LOWER(LEFT($A102,FIND("|",$A102)-1)),1)),-1))),"000000")&amp;MID(LOWER(LEFT($A102,FIND("|",$A102)-1)),LEN(TEXT(IFERROR(VALUE(LEFT(LOWER(LEFT($A102,FIND("|",$A102)-1)),3)),IFERROR(VALUE(LEFT(LOWER(LEFT($A102,FIND("|",$A102)-1)),2)),IFERROR(VALUE(LEFT(LOWER(LEFT($A102,FIND("|",$A102)-1)),1)),-1))),"0"))+1,99),LOWER(LEFT($A102,FIND("|",$A102)-1)))&amp;CHAR(9)&amp;TEXT(IF(SUBSTITUTE(MID($A102,FIND("|",$A102)+1,50),"'","")="",0,IFERROR(VALUE(SUBSTITUTE(MID($A102,FIND("|",$A102)+1,50),"'","")),999999)),"000000")&amp;CHAR(9)&amp;TEXT($B102,"0000"))</f>
        <v/>
      </c>
      <c r="E102" s="4">
        <f>IF($D102="","",SUMPRODUCT(($D$5:$D$364&lt;&gt;"")*($D$5:$D$364&lt;$D102))+1)</f>
        <v/>
      </c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70">
      <c r="A103" s="4">
        <f t="array" ref="A103">IF(N(INDIRECT("'Pull Sheet'!I45"))&gt;0,INDIRECT("'Pull Sheet'!G45")&amp;"|"&amp;INDIRECT("'Pull Sheet'!H45"),"")</f>
        <v/>
      </c>
      <c r="B103" s="4">
        <f>IF(AND($A103&lt;&gt;"",COUNTIF($A$5:$A103,$A103)=1),MAX($B$4:$B102)+1,"")</f>
        <v/>
      </c>
      <c r="C103" s="4">
        <f t="array" ref="C103">IF($A103="","",N(INDIRECT("'Pull Sheet'!I45")))</f>
        <v/>
      </c>
      <c r="D103" s="4">
        <f>IF($B103="","",IF(IFERROR(VALUE(LEFT(LOWER(LEFT($A103,FIND("|",$A103)-1)),3)),IFERROR(VALUE(LEFT(LOWER(LEFT($A103,FIND("|",$A103)-1)),2)),IFERROR(VALUE(LEFT(LOWER(LEFT($A103,FIND("|",$A103)-1)),1)),-1)))&gt;=0,TEXT(IFERROR(VALUE(LEFT(LOWER(LEFT($A103,FIND("|",$A103)-1)),3)),IFERROR(VALUE(LEFT(LOWER(LEFT($A103,FIND("|",$A103)-1)),2)),IFERROR(VALUE(LEFT(LOWER(LEFT($A103,FIND("|",$A103)-1)),1)),-1))),"000000")&amp;MID(LOWER(LEFT($A103,FIND("|",$A103)-1)),LEN(TEXT(IFERROR(VALUE(LEFT(LOWER(LEFT($A103,FIND("|",$A103)-1)),3)),IFERROR(VALUE(LEFT(LOWER(LEFT($A103,FIND("|",$A103)-1)),2)),IFERROR(VALUE(LEFT(LOWER(LEFT($A103,FIND("|",$A103)-1)),1)),-1))),"0"))+1,99),LOWER(LEFT($A103,FIND("|",$A103)-1)))&amp;CHAR(9)&amp;TEXT(IF(SUBSTITUTE(MID($A103,FIND("|",$A103)+1,50),"'","")="",0,IFERROR(VALUE(SUBSTITUTE(MID($A103,FIND("|",$A103)+1,50),"'","")),999999)),"000000")&amp;CHAR(9)&amp;TEXT($B103,"0000"))</f>
        <v/>
      </c>
      <c r="E103" s="4">
        <f>IF($D103="","",SUMPRODUCT(($D$5:$D$364&lt;&gt;"")*($D$5:$D$364&lt;$D103))+1)</f>
        <v/>
      </c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70">
      <c r="A104" s="4">
        <f t="array" ref="A104">IF(N(INDIRECT("'Pull Sheet'!I46"))&gt;0,INDIRECT("'Pull Sheet'!G46")&amp;"|"&amp;INDIRECT("'Pull Sheet'!H46"),"")</f>
        <v/>
      </c>
      <c r="B104" s="4">
        <f>IF(AND($A104&lt;&gt;"",COUNTIF($A$5:$A104,$A104)=1),MAX($B$4:$B103)+1,"")</f>
        <v/>
      </c>
      <c r="C104" s="4">
        <f t="array" ref="C104">IF($A104="","",N(INDIRECT("'Pull Sheet'!I46")))</f>
        <v/>
      </c>
      <c r="D104" s="4">
        <f>IF($B104="","",IF(IFERROR(VALUE(LEFT(LOWER(LEFT($A104,FIND("|",$A104)-1)),3)),IFERROR(VALUE(LEFT(LOWER(LEFT($A104,FIND("|",$A104)-1)),2)),IFERROR(VALUE(LEFT(LOWER(LEFT($A104,FIND("|",$A104)-1)),1)),-1)))&gt;=0,TEXT(IFERROR(VALUE(LEFT(LOWER(LEFT($A104,FIND("|",$A104)-1)),3)),IFERROR(VALUE(LEFT(LOWER(LEFT($A104,FIND("|",$A104)-1)),2)),IFERROR(VALUE(LEFT(LOWER(LEFT($A104,FIND("|",$A104)-1)),1)),-1))),"000000")&amp;MID(LOWER(LEFT($A104,FIND("|",$A104)-1)),LEN(TEXT(IFERROR(VALUE(LEFT(LOWER(LEFT($A104,FIND("|",$A104)-1)),3)),IFERROR(VALUE(LEFT(LOWER(LEFT($A104,FIND("|",$A104)-1)),2)),IFERROR(VALUE(LEFT(LOWER(LEFT($A104,FIND("|",$A104)-1)),1)),-1))),"0"))+1,99),LOWER(LEFT($A104,FIND("|",$A104)-1)))&amp;CHAR(9)&amp;TEXT(IF(SUBSTITUTE(MID($A104,FIND("|",$A104)+1,50),"'","")="",0,IFERROR(VALUE(SUBSTITUTE(MID($A104,FIND("|",$A104)+1,50),"'","")),999999)),"000000")&amp;CHAR(9)&amp;TEXT($B104,"0000"))</f>
        <v/>
      </c>
      <c r="E104" s="4">
        <f>IF($D104="","",SUMPRODUCT(($D$5:$D$364&lt;&gt;"")*($D$5:$D$364&lt;$D104))+1)</f>
        <v/>
      </c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70">
      <c r="A105" s="4">
        <f t="array" ref="A105">IF(N(INDIRECT("'Pull Sheet'!I47"))&gt;0,INDIRECT("'Pull Sheet'!G47")&amp;"|"&amp;INDIRECT("'Pull Sheet'!H47"),"")</f>
        <v/>
      </c>
      <c r="B105" s="4">
        <f>IF(AND($A105&lt;&gt;"",COUNTIF($A$5:$A105,$A105)=1),MAX($B$4:$B104)+1,"")</f>
        <v/>
      </c>
      <c r="C105" s="4">
        <f t="array" ref="C105">IF($A105="","",N(INDIRECT("'Pull Sheet'!I47")))</f>
        <v/>
      </c>
      <c r="D105" s="4">
        <f>IF($B105="","",IF(IFERROR(VALUE(LEFT(LOWER(LEFT($A105,FIND("|",$A105)-1)),3)),IFERROR(VALUE(LEFT(LOWER(LEFT($A105,FIND("|",$A105)-1)),2)),IFERROR(VALUE(LEFT(LOWER(LEFT($A105,FIND("|",$A105)-1)),1)),-1)))&gt;=0,TEXT(IFERROR(VALUE(LEFT(LOWER(LEFT($A105,FIND("|",$A105)-1)),3)),IFERROR(VALUE(LEFT(LOWER(LEFT($A105,FIND("|",$A105)-1)),2)),IFERROR(VALUE(LEFT(LOWER(LEFT($A105,FIND("|",$A105)-1)),1)),-1))),"000000")&amp;MID(LOWER(LEFT($A105,FIND("|",$A105)-1)),LEN(TEXT(IFERROR(VALUE(LEFT(LOWER(LEFT($A105,FIND("|",$A105)-1)),3)),IFERROR(VALUE(LEFT(LOWER(LEFT($A105,FIND("|",$A105)-1)),2)),IFERROR(VALUE(LEFT(LOWER(LEFT($A105,FIND("|",$A105)-1)),1)),-1))),"0"))+1,99),LOWER(LEFT($A105,FIND("|",$A105)-1)))&amp;CHAR(9)&amp;TEXT(IF(SUBSTITUTE(MID($A105,FIND("|",$A105)+1,50),"'","")="",0,IFERROR(VALUE(SUBSTITUTE(MID($A105,FIND("|",$A105)+1,50),"'","")),999999)),"000000")&amp;CHAR(9)&amp;TEXT($B105,"0000"))</f>
        <v/>
      </c>
      <c r="E105" s="4">
        <f>IF($D105="","",SUMPRODUCT(($D$5:$D$364&lt;&gt;"")*($D$5:$D$364&lt;$D105))+1)</f>
        <v/>
      </c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70">
      <c r="A106" s="4">
        <f t="array" ref="A106">IF(N(INDIRECT("'Pull Sheet'!I48"))&gt;0,INDIRECT("'Pull Sheet'!G48")&amp;"|"&amp;INDIRECT("'Pull Sheet'!H48"),"")</f>
        <v/>
      </c>
      <c r="B106" s="4">
        <f>IF(AND($A106&lt;&gt;"",COUNTIF($A$5:$A106,$A106)=1),MAX($B$4:$B105)+1,"")</f>
        <v/>
      </c>
      <c r="C106" s="4">
        <f t="array" ref="C106">IF($A106="","",N(INDIRECT("'Pull Sheet'!I48")))</f>
        <v/>
      </c>
      <c r="D106" s="4">
        <f>IF($B106="","",IF(IFERROR(VALUE(LEFT(LOWER(LEFT($A106,FIND("|",$A106)-1)),3)),IFERROR(VALUE(LEFT(LOWER(LEFT($A106,FIND("|",$A106)-1)),2)),IFERROR(VALUE(LEFT(LOWER(LEFT($A106,FIND("|",$A106)-1)),1)),-1)))&gt;=0,TEXT(IFERROR(VALUE(LEFT(LOWER(LEFT($A106,FIND("|",$A106)-1)),3)),IFERROR(VALUE(LEFT(LOWER(LEFT($A106,FIND("|",$A106)-1)),2)),IFERROR(VALUE(LEFT(LOWER(LEFT($A106,FIND("|",$A106)-1)),1)),-1))),"000000")&amp;MID(LOWER(LEFT($A106,FIND("|",$A106)-1)),LEN(TEXT(IFERROR(VALUE(LEFT(LOWER(LEFT($A106,FIND("|",$A106)-1)),3)),IFERROR(VALUE(LEFT(LOWER(LEFT($A106,FIND("|",$A106)-1)),2)),IFERROR(VALUE(LEFT(LOWER(LEFT($A106,FIND("|",$A106)-1)),1)),-1))),"0"))+1,99),LOWER(LEFT($A106,FIND("|",$A106)-1)))&amp;CHAR(9)&amp;TEXT(IF(SUBSTITUTE(MID($A106,FIND("|",$A106)+1,50),"'","")="",0,IFERROR(VALUE(SUBSTITUTE(MID($A106,FIND("|",$A106)+1,50),"'","")),999999)),"000000")&amp;CHAR(9)&amp;TEXT($B106,"0000"))</f>
        <v/>
      </c>
      <c r="E106" s="4">
        <f>IF($D106="","",SUMPRODUCT(($D$5:$D$364&lt;&gt;"")*($D$5:$D$364&lt;$D106))+1)</f>
        <v/>
      </c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70">
      <c r="A107" s="4">
        <f t="array" ref="A107">IF(N(INDIRECT("'Pull Sheet'!I49"))&gt;0,INDIRECT("'Pull Sheet'!G49")&amp;"|"&amp;INDIRECT("'Pull Sheet'!H49"),"")</f>
        <v/>
      </c>
      <c r="B107" s="4">
        <f>IF(AND($A107&lt;&gt;"",COUNTIF($A$5:$A107,$A107)=1),MAX($B$4:$B106)+1,"")</f>
        <v/>
      </c>
      <c r="C107" s="4">
        <f t="array" ref="C107">IF($A107="","",N(INDIRECT("'Pull Sheet'!I49")))</f>
        <v/>
      </c>
      <c r="D107" s="4">
        <f>IF($B107="","",IF(IFERROR(VALUE(LEFT(LOWER(LEFT($A107,FIND("|",$A107)-1)),3)),IFERROR(VALUE(LEFT(LOWER(LEFT($A107,FIND("|",$A107)-1)),2)),IFERROR(VALUE(LEFT(LOWER(LEFT($A107,FIND("|",$A107)-1)),1)),-1)))&gt;=0,TEXT(IFERROR(VALUE(LEFT(LOWER(LEFT($A107,FIND("|",$A107)-1)),3)),IFERROR(VALUE(LEFT(LOWER(LEFT($A107,FIND("|",$A107)-1)),2)),IFERROR(VALUE(LEFT(LOWER(LEFT($A107,FIND("|",$A107)-1)),1)),-1))),"000000")&amp;MID(LOWER(LEFT($A107,FIND("|",$A107)-1)),LEN(TEXT(IFERROR(VALUE(LEFT(LOWER(LEFT($A107,FIND("|",$A107)-1)),3)),IFERROR(VALUE(LEFT(LOWER(LEFT($A107,FIND("|",$A107)-1)),2)),IFERROR(VALUE(LEFT(LOWER(LEFT($A107,FIND("|",$A107)-1)),1)),-1))),"0"))+1,99),LOWER(LEFT($A107,FIND("|",$A107)-1)))&amp;CHAR(9)&amp;TEXT(IF(SUBSTITUTE(MID($A107,FIND("|",$A107)+1,50),"'","")="",0,IFERROR(VALUE(SUBSTITUTE(MID($A107,FIND("|",$A107)+1,50),"'","")),999999)),"000000")&amp;CHAR(9)&amp;TEXT($B107,"0000"))</f>
        <v/>
      </c>
      <c r="E107" s="4">
        <f>IF($D107="","",SUMPRODUCT(($D$5:$D$364&lt;&gt;"")*($D$5:$D$364&lt;$D107))+1)</f>
        <v/>
      </c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70">
      <c r="A108" s="4">
        <f t="array" ref="A108">IF(N(INDIRECT("'Pull Sheet'!I50"))&gt;0,INDIRECT("'Pull Sheet'!G50")&amp;"|"&amp;INDIRECT("'Pull Sheet'!H50"),"")</f>
        <v/>
      </c>
      <c r="B108" s="4">
        <f>IF(AND($A108&lt;&gt;"",COUNTIF($A$5:$A108,$A108)=1),MAX($B$4:$B107)+1,"")</f>
        <v/>
      </c>
      <c r="C108" s="4">
        <f t="array" ref="C108">IF($A108="","",N(INDIRECT("'Pull Sheet'!I50")))</f>
        <v/>
      </c>
      <c r="D108" s="4">
        <f>IF($B108="","",IF(IFERROR(VALUE(LEFT(LOWER(LEFT($A108,FIND("|",$A108)-1)),3)),IFERROR(VALUE(LEFT(LOWER(LEFT($A108,FIND("|",$A108)-1)),2)),IFERROR(VALUE(LEFT(LOWER(LEFT($A108,FIND("|",$A108)-1)),1)),-1)))&gt;=0,TEXT(IFERROR(VALUE(LEFT(LOWER(LEFT($A108,FIND("|",$A108)-1)),3)),IFERROR(VALUE(LEFT(LOWER(LEFT($A108,FIND("|",$A108)-1)),2)),IFERROR(VALUE(LEFT(LOWER(LEFT($A108,FIND("|",$A108)-1)),1)),-1))),"000000")&amp;MID(LOWER(LEFT($A108,FIND("|",$A108)-1)),LEN(TEXT(IFERROR(VALUE(LEFT(LOWER(LEFT($A108,FIND("|",$A108)-1)),3)),IFERROR(VALUE(LEFT(LOWER(LEFT($A108,FIND("|",$A108)-1)),2)),IFERROR(VALUE(LEFT(LOWER(LEFT($A108,FIND("|",$A108)-1)),1)),-1))),"0"))+1,99),LOWER(LEFT($A108,FIND("|",$A108)-1)))&amp;CHAR(9)&amp;TEXT(IF(SUBSTITUTE(MID($A108,FIND("|",$A108)+1,50),"'","")="",0,IFERROR(VALUE(SUBSTITUTE(MID($A108,FIND("|",$A108)+1,50),"'","")),999999)),"000000")&amp;CHAR(9)&amp;TEXT($B108,"0000"))</f>
        <v/>
      </c>
      <c r="E108" s="4">
        <f>IF($D108="","",SUMPRODUCT(($D$5:$D$364&lt;&gt;"")*($D$5:$D$364&lt;$D108))+1)</f>
        <v/>
      </c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70">
      <c r="A109" s="4">
        <f t="array" ref="A109">IF(N(INDIRECT("'Pull Sheet'!I51"))&gt;0,INDIRECT("'Pull Sheet'!G51")&amp;"|"&amp;INDIRECT("'Pull Sheet'!H51"),"")</f>
        <v/>
      </c>
      <c r="B109" s="4">
        <f>IF(AND($A109&lt;&gt;"",COUNTIF($A$5:$A109,$A109)=1),MAX($B$4:$B108)+1,"")</f>
        <v/>
      </c>
      <c r="C109" s="4">
        <f t="array" ref="C109">IF($A109="","",N(INDIRECT("'Pull Sheet'!I51")))</f>
        <v/>
      </c>
      <c r="D109" s="4">
        <f>IF($B109="","",IF(IFERROR(VALUE(LEFT(LOWER(LEFT($A109,FIND("|",$A109)-1)),3)),IFERROR(VALUE(LEFT(LOWER(LEFT($A109,FIND("|",$A109)-1)),2)),IFERROR(VALUE(LEFT(LOWER(LEFT($A109,FIND("|",$A109)-1)),1)),-1)))&gt;=0,TEXT(IFERROR(VALUE(LEFT(LOWER(LEFT($A109,FIND("|",$A109)-1)),3)),IFERROR(VALUE(LEFT(LOWER(LEFT($A109,FIND("|",$A109)-1)),2)),IFERROR(VALUE(LEFT(LOWER(LEFT($A109,FIND("|",$A109)-1)),1)),-1))),"000000")&amp;MID(LOWER(LEFT($A109,FIND("|",$A109)-1)),LEN(TEXT(IFERROR(VALUE(LEFT(LOWER(LEFT($A109,FIND("|",$A109)-1)),3)),IFERROR(VALUE(LEFT(LOWER(LEFT($A109,FIND("|",$A109)-1)),2)),IFERROR(VALUE(LEFT(LOWER(LEFT($A109,FIND("|",$A109)-1)),1)),-1))),"0"))+1,99),LOWER(LEFT($A109,FIND("|",$A109)-1)))&amp;CHAR(9)&amp;TEXT(IF(SUBSTITUTE(MID($A109,FIND("|",$A109)+1,50),"'","")="",0,IFERROR(VALUE(SUBSTITUTE(MID($A109,FIND("|",$A109)+1,50),"'","")),999999)),"000000")&amp;CHAR(9)&amp;TEXT($B109,"0000"))</f>
        <v/>
      </c>
      <c r="E109" s="4">
        <f>IF($D109="","",SUMPRODUCT(($D$5:$D$364&lt;&gt;"")*($D$5:$D$364&lt;$D109))+1)</f>
        <v/>
      </c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70">
      <c r="A110" s="4">
        <f t="array" ref="A110">IF(N(INDIRECT("'Pull Sheet'!I52"))&gt;0,INDIRECT("'Pull Sheet'!G52")&amp;"|"&amp;INDIRECT("'Pull Sheet'!H52"),"")</f>
        <v/>
      </c>
      <c r="B110" s="4">
        <f>IF(AND($A110&lt;&gt;"",COUNTIF($A$5:$A110,$A110)=1),MAX($B$4:$B109)+1,"")</f>
        <v/>
      </c>
      <c r="C110" s="4">
        <f t="array" ref="C110">IF($A110="","",N(INDIRECT("'Pull Sheet'!I52")))</f>
        <v/>
      </c>
      <c r="D110" s="4">
        <f>IF($B110="","",IF(IFERROR(VALUE(LEFT(LOWER(LEFT($A110,FIND("|",$A110)-1)),3)),IFERROR(VALUE(LEFT(LOWER(LEFT($A110,FIND("|",$A110)-1)),2)),IFERROR(VALUE(LEFT(LOWER(LEFT($A110,FIND("|",$A110)-1)),1)),-1)))&gt;=0,TEXT(IFERROR(VALUE(LEFT(LOWER(LEFT($A110,FIND("|",$A110)-1)),3)),IFERROR(VALUE(LEFT(LOWER(LEFT($A110,FIND("|",$A110)-1)),2)),IFERROR(VALUE(LEFT(LOWER(LEFT($A110,FIND("|",$A110)-1)),1)),-1))),"000000")&amp;MID(LOWER(LEFT($A110,FIND("|",$A110)-1)),LEN(TEXT(IFERROR(VALUE(LEFT(LOWER(LEFT($A110,FIND("|",$A110)-1)),3)),IFERROR(VALUE(LEFT(LOWER(LEFT($A110,FIND("|",$A110)-1)),2)),IFERROR(VALUE(LEFT(LOWER(LEFT($A110,FIND("|",$A110)-1)),1)),-1))),"0"))+1,99),LOWER(LEFT($A110,FIND("|",$A110)-1)))&amp;CHAR(9)&amp;TEXT(IF(SUBSTITUTE(MID($A110,FIND("|",$A110)+1,50),"'","")="",0,IFERROR(VALUE(SUBSTITUTE(MID($A110,FIND("|",$A110)+1,50),"'","")),999999)),"000000")&amp;CHAR(9)&amp;TEXT($B110,"0000"))</f>
        <v/>
      </c>
      <c r="E110" s="4">
        <f>IF($D110="","",SUMPRODUCT(($D$5:$D$364&lt;&gt;"")*($D$5:$D$364&lt;$D110))+1)</f>
        <v/>
      </c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70">
      <c r="A111" s="4">
        <f t="array" ref="A111">IF(N(INDIRECT("'Pull Sheet'!I53"))&gt;0,INDIRECT("'Pull Sheet'!G53")&amp;"|"&amp;INDIRECT("'Pull Sheet'!H53"),"")</f>
        <v/>
      </c>
      <c r="B111" s="4">
        <f>IF(AND($A111&lt;&gt;"",COUNTIF($A$5:$A111,$A111)=1),MAX($B$4:$B110)+1,"")</f>
        <v/>
      </c>
      <c r="C111" s="4">
        <f t="array" ref="C111">IF($A111="","",N(INDIRECT("'Pull Sheet'!I53")))</f>
        <v/>
      </c>
      <c r="D111" s="4">
        <f>IF($B111="","",IF(IFERROR(VALUE(LEFT(LOWER(LEFT($A111,FIND("|",$A111)-1)),3)),IFERROR(VALUE(LEFT(LOWER(LEFT($A111,FIND("|",$A111)-1)),2)),IFERROR(VALUE(LEFT(LOWER(LEFT($A111,FIND("|",$A111)-1)),1)),-1)))&gt;=0,TEXT(IFERROR(VALUE(LEFT(LOWER(LEFT($A111,FIND("|",$A111)-1)),3)),IFERROR(VALUE(LEFT(LOWER(LEFT($A111,FIND("|",$A111)-1)),2)),IFERROR(VALUE(LEFT(LOWER(LEFT($A111,FIND("|",$A111)-1)),1)),-1))),"000000")&amp;MID(LOWER(LEFT($A111,FIND("|",$A111)-1)),LEN(TEXT(IFERROR(VALUE(LEFT(LOWER(LEFT($A111,FIND("|",$A111)-1)),3)),IFERROR(VALUE(LEFT(LOWER(LEFT($A111,FIND("|",$A111)-1)),2)),IFERROR(VALUE(LEFT(LOWER(LEFT($A111,FIND("|",$A111)-1)),1)),-1))),"0"))+1,99),LOWER(LEFT($A111,FIND("|",$A111)-1)))&amp;CHAR(9)&amp;TEXT(IF(SUBSTITUTE(MID($A111,FIND("|",$A111)+1,50),"'","")="",0,IFERROR(VALUE(SUBSTITUTE(MID($A111,FIND("|",$A111)+1,50),"'","")),999999)),"000000")&amp;CHAR(9)&amp;TEXT($B111,"0000"))</f>
        <v/>
      </c>
      <c r="E111" s="4">
        <f>IF($D111="","",SUMPRODUCT(($D$5:$D$364&lt;&gt;"")*($D$5:$D$364&lt;$D111))+1)</f>
        <v/>
      </c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70">
      <c r="A112" s="4">
        <f t="array" ref="A112">IF(N(INDIRECT("'Pull Sheet'!I54"))&gt;0,INDIRECT("'Pull Sheet'!G54")&amp;"|"&amp;INDIRECT("'Pull Sheet'!H54"),"")</f>
        <v/>
      </c>
      <c r="B112" s="4">
        <f>IF(AND($A112&lt;&gt;"",COUNTIF($A$5:$A112,$A112)=1),MAX($B$4:$B111)+1,"")</f>
        <v/>
      </c>
      <c r="C112" s="4">
        <f t="array" ref="C112">IF($A112="","",N(INDIRECT("'Pull Sheet'!I54")))</f>
        <v/>
      </c>
      <c r="D112" s="4">
        <f>IF($B112="","",IF(IFERROR(VALUE(LEFT(LOWER(LEFT($A112,FIND("|",$A112)-1)),3)),IFERROR(VALUE(LEFT(LOWER(LEFT($A112,FIND("|",$A112)-1)),2)),IFERROR(VALUE(LEFT(LOWER(LEFT($A112,FIND("|",$A112)-1)),1)),-1)))&gt;=0,TEXT(IFERROR(VALUE(LEFT(LOWER(LEFT($A112,FIND("|",$A112)-1)),3)),IFERROR(VALUE(LEFT(LOWER(LEFT($A112,FIND("|",$A112)-1)),2)),IFERROR(VALUE(LEFT(LOWER(LEFT($A112,FIND("|",$A112)-1)),1)),-1))),"000000")&amp;MID(LOWER(LEFT($A112,FIND("|",$A112)-1)),LEN(TEXT(IFERROR(VALUE(LEFT(LOWER(LEFT($A112,FIND("|",$A112)-1)),3)),IFERROR(VALUE(LEFT(LOWER(LEFT($A112,FIND("|",$A112)-1)),2)),IFERROR(VALUE(LEFT(LOWER(LEFT($A112,FIND("|",$A112)-1)),1)),-1))),"0"))+1,99),LOWER(LEFT($A112,FIND("|",$A112)-1)))&amp;CHAR(9)&amp;TEXT(IF(SUBSTITUTE(MID($A112,FIND("|",$A112)+1,50),"'","")="",0,IFERROR(VALUE(SUBSTITUTE(MID($A112,FIND("|",$A112)+1,50),"'","")),999999)),"000000")&amp;CHAR(9)&amp;TEXT($B112,"0000"))</f>
        <v/>
      </c>
      <c r="E112" s="4">
        <f>IF($D112="","",SUMPRODUCT(($D$5:$D$364&lt;&gt;"")*($D$5:$D$364&lt;$D112))+1)</f>
        <v/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70">
      <c r="A113" s="4">
        <f t="array" ref="A113">IF(N(INDIRECT("'Pull Sheet'!I55"))&gt;0,INDIRECT("'Pull Sheet'!G55")&amp;"|"&amp;INDIRECT("'Pull Sheet'!H55"),"")</f>
        <v/>
      </c>
      <c r="B113" s="4">
        <f>IF(AND($A113&lt;&gt;"",COUNTIF($A$5:$A113,$A113)=1),MAX($B$4:$B112)+1,"")</f>
        <v/>
      </c>
      <c r="C113" s="4">
        <f t="array" ref="C113">IF($A113="","",N(INDIRECT("'Pull Sheet'!I55")))</f>
        <v/>
      </c>
      <c r="D113" s="4">
        <f>IF($B113="","",IF(IFERROR(VALUE(LEFT(LOWER(LEFT($A113,FIND("|",$A113)-1)),3)),IFERROR(VALUE(LEFT(LOWER(LEFT($A113,FIND("|",$A113)-1)),2)),IFERROR(VALUE(LEFT(LOWER(LEFT($A113,FIND("|",$A113)-1)),1)),-1)))&gt;=0,TEXT(IFERROR(VALUE(LEFT(LOWER(LEFT($A113,FIND("|",$A113)-1)),3)),IFERROR(VALUE(LEFT(LOWER(LEFT($A113,FIND("|",$A113)-1)),2)),IFERROR(VALUE(LEFT(LOWER(LEFT($A113,FIND("|",$A113)-1)),1)),-1))),"000000")&amp;MID(LOWER(LEFT($A113,FIND("|",$A113)-1)),LEN(TEXT(IFERROR(VALUE(LEFT(LOWER(LEFT($A113,FIND("|",$A113)-1)),3)),IFERROR(VALUE(LEFT(LOWER(LEFT($A113,FIND("|",$A113)-1)),2)),IFERROR(VALUE(LEFT(LOWER(LEFT($A113,FIND("|",$A113)-1)),1)),-1))),"0"))+1,99),LOWER(LEFT($A113,FIND("|",$A113)-1)))&amp;CHAR(9)&amp;TEXT(IF(SUBSTITUTE(MID($A113,FIND("|",$A113)+1,50),"'","")="",0,IFERROR(VALUE(SUBSTITUTE(MID($A113,FIND("|",$A113)+1,50),"'","")),999999)),"000000")&amp;CHAR(9)&amp;TEXT($B113,"0000"))</f>
        <v/>
      </c>
      <c r="E113" s="4">
        <f>IF($D113="","",SUMPRODUCT(($D$5:$D$364&lt;&gt;"")*($D$5:$D$364&lt;$D113))+1)</f>
        <v/>
      </c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70">
      <c r="A114" s="4">
        <f t="array" ref="A114">IF(N(INDIRECT("'Pull Sheet'!I56"))&gt;0,INDIRECT("'Pull Sheet'!G56")&amp;"|"&amp;INDIRECT("'Pull Sheet'!H56"),"")</f>
        <v/>
      </c>
      <c r="B114" s="4">
        <f>IF(AND($A114&lt;&gt;"",COUNTIF($A$5:$A114,$A114)=1),MAX($B$4:$B113)+1,"")</f>
        <v/>
      </c>
      <c r="C114" s="4">
        <f t="array" ref="C114">IF($A114="","",N(INDIRECT("'Pull Sheet'!I56")))</f>
        <v/>
      </c>
      <c r="D114" s="4">
        <f>IF($B114="","",IF(IFERROR(VALUE(LEFT(LOWER(LEFT($A114,FIND("|",$A114)-1)),3)),IFERROR(VALUE(LEFT(LOWER(LEFT($A114,FIND("|",$A114)-1)),2)),IFERROR(VALUE(LEFT(LOWER(LEFT($A114,FIND("|",$A114)-1)),1)),-1)))&gt;=0,TEXT(IFERROR(VALUE(LEFT(LOWER(LEFT($A114,FIND("|",$A114)-1)),3)),IFERROR(VALUE(LEFT(LOWER(LEFT($A114,FIND("|",$A114)-1)),2)),IFERROR(VALUE(LEFT(LOWER(LEFT($A114,FIND("|",$A114)-1)),1)),-1))),"000000")&amp;MID(LOWER(LEFT($A114,FIND("|",$A114)-1)),LEN(TEXT(IFERROR(VALUE(LEFT(LOWER(LEFT($A114,FIND("|",$A114)-1)),3)),IFERROR(VALUE(LEFT(LOWER(LEFT($A114,FIND("|",$A114)-1)),2)),IFERROR(VALUE(LEFT(LOWER(LEFT($A114,FIND("|",$A114)-1)),1)),-1))),"0"))+1,99),LOWER(LEFT($A114,FIND("|",$A114)-1)))&amp;CHAR(9)&amp;TEXT(IF(SUBSTITUTE(MID($A114,FIND("|",$A114)+1,50),"'","")="",0,IFERROR(VALUE(SUBSTITUTE(MID($A114,FIND("|",$A114)+1,50),"'","")),999999)),"000000")&amp;CHAR(9)&amp;TEXT($B114,"0000"))</f>
        <v/>
      </c>
      <c r="E114" s="4">
        <f>IF($D114="","",SUMPRODUCT(($D$5:$D$364&lt;&gt;"")*($D$5:$D$364&lt;$D114))+1)</f>
        <v/>
      </c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70">
      <c r="A115" s="4">
        <f t="array" ref="A115">IF(N(INDIRECT("'Pull Sheet'!I57"))&gt;0,INDIRECT("'Pull Sheet'!G57")&amp;"|"&amp;INDIRECT("'Pull Sheet'!H57"),"")</f>
        <v/>
      </c>
      <c r="B115" s="4">
        <f>IF(AND($A115&lt;&gt;"",COUNTIF($A$5:$A115,$A115)=1),MAX($B$4:$B114)+1,"")</f>
        <v/>
      </c>
      <c r="C115" s="4">
        <f t="array" ref="C115">IF($A115="","",N(INDIRECT("'Pull Sheet'!I57")))</f>
        <v/>
      </c>
      <c r="D115" s="4">
        <f>IF($B115="","",IF(IFERROR(VALUE(LEFT(LOWER(LEFT($A115,FIND("|",$A115)-1)),3)),IFERROR(VALUE(LEFT(LOWER(LEFT($A115,FIND("|",$A115)-1)),2)),IFERROR(VALUE(LEFT(LOWER(LEFT($A115,FIND("|",$A115)-1)),1)),-1)))&gt;=0,TEXT(IFERROR(VALUE(LEFT(LOWER(LEFT($A115,FIND("|",$A115)-1)),3)),IFERROR(VALUE(LEFT(LOWER(LEFT($A115,FIND("|",$A115)-1)),2)),IFERROR(VALUE(LEFT(LOWER(LEFT($A115,FIND("|",$A115)-1)),1)),-1))),"000000")&amp;MID(LOWER(LEFT($A115,FIND("|",$A115)-1)),LEN(TEXT(IFERROR(VALUE(LEFT(LOWER(LEFT($A115,FIND("|",$A115)-1)),3)),IFERROR(VALUE(LEFT(LOWER(LEFT($A115,FIND("|",$A115)-1)),2)),IFERROR(VALUE(LEFT(LOWER(LEFT($A115,FIND("|",$A115)-1)),1)),-1))),"0"))+1,99),LOWER(LEFT($A115,FIND("|",$A115)-1)))&amp;CHAR(9)&amp;TEXT(IF(SUBSTITUTE(MID($A115,FIND("|",$A115)+1,50),"'","")="",0,IFERROR(VALUE(SUBSTITUTE(MID($A115,FIND("|",$A115)+1,50),"'","")),999999)),"000000")&amp;CHAR(9)&amp;TEXT($B115,"0000"))</f>
        <v/>
      </c>
      <c r="E115" s="4">
        <f>IF($D115="","",SUMPRODUCT(($D$5:$D$364&lt;&gt;"")*($D$5:$D$364&lt;$D115))+1)</f>
        <v/>
      </c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70">
      <c r="A116" s="4">
        <f t="array" ref="A116">IF(N(INDIRECT("'Pull Sheet'!I58"))&gt;0,INDIRECT("'Pull Sheet'!G58")&amp;"|"&amp;INDIRECT("'Pull Sheet'!H58"),"")</f>
        <v/>
      </c>
      <c r="B116" s="4">
        <f>IF(AND($A116&lt;&gt;"",COUNTIF($A$5:$A116,$A116)=1),MAX($B$4:$B115)+1,"")</f>
        <v/>
      </c>
      <c r="C116" s="4">
        <f t="array" ref="C116">IF($A116="","",N(INDIRECT("'Pull Sheet'!I58")))</f>
        <v/>
      </c>
      <c r="D116" s="4">
        <f>IF($B116="","",IF(IFERROR(VALUE(LEFT(LOWER(LEFT($A116,FIND("|",$A116)-1)),3)),IFERROR(VALUE(LEFT(LOWER(LEFT($A116,FIND("|",$A116)-1)),2)),IFERROR(VALUE(LEFT(LOWER(LEFT($A116,FIND("|",$A116)-1)),1)),-1)))&gt;=0,TEXT(IFERROR(VALUE(LEFT(LOWER(LEFT($A116,FIND("|",$A116)-1)),3)),IFERROR(VALUE(LEFT(LOWER(LEFT($A116,FIND("|",$A116)-1)),2)),IFERROR(VALUE(LEFT(LOWER(LEFT($A116,FIND("|",$A116)-1)),1)),-1))),"000000")&amp;MID(LOWER(LEFT($A116,FIND("|",$A116)-1)),LEN(TEXT(IFERROR(VALUE(LEFT(LOWER(LEFT($A116,FIND("|",$A116)-1)),3)),IFERROR(VALUE(LEFT(LOWER(LEFT($A116,FIND("|",$A116)-1)),2)),IFERROR(VALUE(LEFT(LOWER(LEFT($A116,FIND("|",$A116)-1)),1)),-1))),"0"))+1,99),LOWER(LEFT($A116,FIND("|",$A116)-1)))&amp;CHAR(9)&amp;TEXT(IF(SUBSTITUTE(MID($A116,FIND("|",$A116)+1,50),"'","")="",0,IFERROR(VALUE(SUBSTITUTE(MID($A116,FIND("|",$A116)+1,50),"'","")),999999)),"000000")&amp;CHAR(9)&amp;TEXT($B116,"0000"))</f>
        <v/>
      </c>
      <c r="E116" s="4">
        <f>IF($D116="","",SUMPRODUCT(($D$5:$D$364&lt;&gt;"")*($D$5:$D$364&lt;$D116))+1)</f>
        <v/>
      </c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70">
      <c r="A117" s="4">
        <f t="array" ref="A117">IF(N(INDIRECT("'Pull Sheet'!I59"))&gt;0,INDIRECT("'Pull Sheet'!G59")&amp;"|"&amp;INDIRECT("'Pull Sheet'!H59"),"")</f>
        <v/>
      </c>
      <c r="B117" s="4">
        <f>IF(AND($A117&lt;&gt;"",COUNTIF($A$5:$A117,$A117)=1),MAX($B$4:$B116)+1,"")</f>
        <v/>
      </c>
      <c r="C117" s="4">
        <f t="array" ref="C117">IF($A117="","",N(INDIRECT("'Pull Sheet'!I59")))</f>
        <v/>
      </c>
      <c r="D117" s="4">
        <f>IF($B117="","",IF(IFERROR(VALUE(LEFT(LOWER(LEFT($A117,FIND("|",$A117)-1)),3)),IFERROR(VALUE(LEFT(LOWER(LEFT($A117,FIND("|",$A117)-1)),2)),IFERROR(VALUE(LEFT(LOWER(LEFT($A117,FIND("|",$A117)-1)),1)),-1)))&gt;=0,TEXT(IFERROR(VALUE(LEFT(LOWER(LEFT($A117,FIND("|",$A117)-1)),3)),IFERROR(VALUE(LEFT(LOWER(LEFT($A117,FIND("|",$A117)-1)),2)),IFERROR(VALUE(LEFT(LOWER(LEFT($A117,FIND("|",$A117)-1)),1)),-1))),"000000")&amp;MID(LOWER(LEFT($A117,FIND("|",$A117)-1)),LEN(TEXT(IFERROR(VALUE(LEFT(LOWER(LEFT($A117,FIND("|",$A117)-1)),3)),IFERROR(VALUE(LEFT(LOWER(LEFT($A117,FIND("|",$A117)-1)),2)),IFERROR(VALUE(LEFT(LOWER(LEFT($A117,FIND("|",$A117)-1)),1)),-1))),"0"))+1,99),LOWER(LEFT($A117,FIND("|",$A117)-1)))&amp;CHAR(9)&amp;TEXT(IF(SUBSTITUTE(MID($A117,FIND("|",$A117)+1,50),"'","")="",0,IFERROR(VALUE(SUBSTITUTE(MID($A117,FIND("|",$A117)+1,50),"'","")),999999)),"000000")&amp;CHAR(9)&amp;TEXT($B117,"0000"))</f>
        <v/>
      </c>
      <c r="E117" s="4">
        <f>IF($D117="","",SUMPRODUCT(($D$5:$D$364&lt;&gt;"")*($D$5:$D$364&lt;$D117))+1)</f>
        <v/>
      </c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70">
      <c r="A118" s="4">
        <f t="array" ref="A118">IF(N(INDIRECT("'Pull Sheet'!I60"))&gt;0,INDIRECT("'Pull Sheet'!G60")&amp;"|"&amp;INDIRECT("'Pull Sheet'!H60"),"")</f>
        <v/>
      </c>
      <c r="B118" s="4">
        <f>IF(AND($A118&lt;&gt;"",COUNTIF($A$5:$A118,$A118)=1),MAX($B$4:$B117)+1,"")</f>
        <v/>
      </c>
      <c r="C118" s="4">
        <f t="array" ref="C118">IF($A118="","",N(INDIRECT("'Pull Sheet'!I60")))</f>
        <v/>
      </c>
      <c r="D118" s="4">
        <f>IF($B118="","",IF(IFERROR(VALUE(LEFT(LOWER(LEFT($A118,FIND("|",$A118)-1)),3)),IFERROR(VALUE(LEFT(LOWER(LEFT($A118,FIND("|",$A118)-1)),2)),IFERROR(VALUE(LEFT(LOWER(LEFT($A118,FIND("|",$A118)-1)),1)),-1)))&gt;=0,TEXT(IFERROR(VALUE(LEFT(LOWER(LEFT($A118,FIND("|",$A118)-1)),3)),IFERROR(VALUE(LEFT(LOWER(LEFT($A118,FIND("|",$A118)-1)),2)),IFERROR(VALUE(LEFT(LOWER(LEFT($A118,FIND("|",$A118)-1)),1)),-1))),"000000")&amp;MID(LOWER(LEFT($A118,FIND("|",$A118)-1)),LEN(TEXT(IFERROR(VALUE(LEFT(LOWER(LEFT($A118,FIND("|",$A118)-1)),3)),IFERROR(VALUE(LEFT(LOWER(LEFT($A118,FIND("|",$A118)-1)),2)),IFERROR(VALUE(LEFT(LOWER(LEFT($A118,FIND("|",$A118)-1)),1)),-1))),"0"))+1,99),LOWER(LEFT($A118,FIND("|",$A118)-1)))&amp;CHAR(9)&amp;TEXT(IF(SUBSTITUTE(MID($A118,FIND("|",$A118)+1,50),"'","")="",0,IFERROR(VALUE(SUBSTITUTE(MID($A118,FIND("|",$A118)+1,50),"'","")),999999)),"000000")&amp;CHAR(9)&amp;TEXT($B118,"0000"))</f>
        <v/>
      </c>
      <c r="E118" s="4">
        <f>IF($D118="","",SUMPRODUCT(($D$5:$D$364&lt;&gt;"")*($D$5:$D$364&lt;$D118))+1)</f>
        <v/>
      </c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70">
      <c r="A119" s="4">
        <f t="array" ref="A119">IF(N(INDIRECT("'Pull Sheet'!I61"))&gt;0,INDIRECT("'Pull Sheet'!G61")&amp;"|"&amp;INDIRECT("'Pull Sheet'!H61"),"")</f>
        <v/>
      </c>
      <c r="B119" s="4">
        <f>IF(AND($A119&lt;&gt;"",COUNTIF($A$5:$A119,$A119)=1),MAX($B$4:$B118)+1,"")</f>
        <v/>
      </c>
      <c r="C119" s="4">
        <f t="array" ref="C119">IF($A119="","",N(INDIRECT("'Pull Sheet'!I61")))</f>
        <v/>
      </c>
      <c r="D119" s="4">
        <f>IF($B119="","",IF(IFERROR(VALUE(LEFT(LOWER(LEFT($A119,FIND("|",$A119)-1)),3)),IFERROR(VALUE(LEFT(LOWER(LEFT($A119,FIND("|",$A119)-1)),2)),IFERROR(VALUE(LEFT(LOWER(LEFT($A119,FIND("|",$A119)-1)),1)),-1)))&gt;=0,TEXT(IFERROR(VALUE(LEFT(LOWER(LEFT($A119,FIND("|",$A119)-1)),3)),IFERROR(VALUE(LEFT(LOWER(LEFT($A119,FIND("|",$A119)-1)),2)),IFERROR(VALUE(LEFT(LOWER(LEFT($A119,FIND("|",$A119)-1)),1)),-1))),"000000")&amp;MID(LOWER(LEFT($A119,FIND("|",$A119)-1)),LEN(TEXT(IFERROR(VALUE(LEFT(LOWER(LEFT($A119,FIND("|",$A119)-1)),3)),IFERROR(VALUE(LEFT(LOWER(LEFT($A119,FIND("|",$A119)-1)),2)),IFERROR(VALUE(LEFT(LOWER(LEFT($A119,FIND("|",$A119)-1)),1)),-1))),"0"))+1,99),LOWER(LEFT($A119,FIND("|",$A119)-1)))&amp;CHAR(9)&amp;TEXT(IF(SUBSTITUTE(MID($A119,FIND("|",$A119)+1,50),"'","")="",0,IFERROR(VALUE(SUBSTITUTE(MID($A119,FIND("|",$A119)+1,50),"'","")),999999)),"000000")&amp;CHAR(9)&amp;TEXT($B119,"0000"))</f>
        <v/>
      </c>
      <c r="E119" s="4">
        <f>IF($D119="","",SUMPRODUCT(($D$5:$D$364&lt;&gt;"")*($D$5:$D$364&lt;$D119))+1)</f>
        <v/>
      </c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70">
      <c r="A120" s="4">
        <f t="array" ref="A120">IF(N(INDIRECT("'Pull Sheet'!I62"))&gt;0,INDIRECT("'Pull Sheet'!G62")&amp;"|"&amp;INDIRECT("'Pull Sheet'!H62"),"")</f>
        <v/>
      </c>
      <c r="B120" s="4">
        <f>IF(AND($A120&lt;&gt;"",COUNTIF($A$5:$A120,$A120)=1),MAX($B$4:$B119)+1,"")</f>
        <v/>
      </c>
      <c r="C120" s="4">
        <f t="array" ref="C120">IF($A120="","",N(INDIRECT("'Pull Sheet'!I62")))</f>
        <v/>
      </c>
      <c r="D120" s="4">
        <f>IF($B120="","",IF(IFERROR(VALUE(LEFT(LOWER(LEFT($A120,FIND("|",$A120)-1)),3)),IFERROR(VALUE(LEFT(LOWER(LEFT($A120,FIND("|",$A120)-1)),2)),IFERROR(VALUE(LEFT(LOWER(LEFT($A120,FIND("|",$A120)-1)),1)),-1)))&gt;=0,TEXT(IFERROR(VALUE(LEFT(LOWER(LEFT($A120,FIND("|",$A120)-1)),3)),IFERROR(VALUE(LEFT(LOWER(LEFT($A120,FIND("|",$A120)-1)),2)),IFERROR(VALUE(LEFT(LOWER(LEFT($A120,FIND("|",$A120)-1)),1)),-1))),"000000")&amp;MID(LOWER(LEFT($A120,FIND("|",$A120)-1)),LEN(TEXT(IFERROR(VALUE(LEFT(LOWER(LEFT($A120,FIND("|",$A120)-1)),3)),IFERROR(VALUE(LEFT(LOWER(LEFT($A120,FIND("|",$A120)-1)),2)),IFERROR(VALUE(LEFT(LOWER(LEFT($A120,FIND("|",$A120)-1)),1)),-1))),"0"))+1,99),LOWER(LEFT($A120,FIND("|",$A120)-1)))&amp;CHAR(9)&amp;TEXT(IF(SUBSTITUTE(MID($A120,FIND("|",$A120)+1,50),"'","")="",0,IFERROR(VALUE(SUBSTITUTE(MID($A120,FIND("|",$A120)+1,50),"'","")),999999)),"000000")&amp;CHAR(9)&amp;TEXT($B120,"0000"))</f>
        <v/>
      </c>
      <c r="E120" s="4">
        <f>IF($D120="","",SUMPRODUCT(($D$5:$D$364&lt;&gt;"")*($D$5:$D$364&lt;$D120))+1)</f>
        <v/>
      </c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70">
      <c r="A121" s="4">
        <f t="array" ref="A121">IF(N(INDIRECT("'Pull Sheet'!I63"))&gt;0,INDIRECT("'Pull Sheet'!G63")&amp;"|"&amp;INDIRECT("'Pull Sheet'!H63"),"")</f>
        <v/>
      </c>
      <c r="B121" s="4">
        <f>IF(AND($A121&lt;&gt;"",COUNTIF($A$5:$A121,$A121)=1),MAX($B$4:$B120)+1,"")</f>
        <v/>
      </c>
      <c r="C121" s="4">
        <f t="array" ref="C121">IF($A121="","",N(INDIRECT("'Pull Sheet'!I63")))</f>
        <v/>
      </c>
      <c r="D121" s="4">
        <f>IF($B121="","",IF(IFERROR(VALUE(LEFT(LOWER(LEFT($A121,FIND("|",$A121)-1)),3)),IFERROR(VALUE(LEFT(LOWER(LEFT($A121,FIND("|",$A121)-1)),2)),IFERROR(VALUE(LEFT(LOWER(LEFT($A121,FIND("|",$A121)-1)),1)),-1)))&gt;=0,TEXT(IFERROR(VALUE(LEFT(LOWER(LEFT($A121,FIND("|",$A121)-1)),3)),IFERROR(VALUE(LEFT(LOWER(LEFT($A121,FIND("|",$A121)-1)),2)),IFERROR(VALUE(LEFT(LOWER(LEFT($A121,FIND("|",$A121)-1)),1)),-1))),"000000")&amp;MID(LOWER(LEFT($A121,FIND("|",$A121)-1)),LEN(TEXT(IFERROR(VALUE(LEFT(LOWER(LEFT($A121,FIND("|",$A121)-1)),3)),IFERROR(VALUE(LEFT(LOWER(LEFT($A121,FIND("|",$A121)-1)),2)),IFERROR(VALUE(LEFT(LOWER(LEFT($A121,FIND("|",$A121)-1)),1)),-1))),"0"))+1,99),LOWER(LEFT($A121,FIND("|",$A121)-1)))&amp;CHAR(9)&amp;TEXT(IF(SUBSTITUTE(MID($A121,FIND("|",$A121)+1,50),"'","")="",0,IFERROR(VALUE(SUBSTITUTE(MID($A121,FIND("|",$A121)+1,50),"'","")),999999)),"000000")&amp;CHAR(9)&amp;TEXT($B121,"0000"))</f>
        <v/>
      </c>
      <c r="E121" s="4">
        <f>IF($D121="","",SUMPRODUCT(($D$5:$D$364&lt;&gt;"")*($D$5:$D$364&lt;$D121))+1)</f>
        <v/>
      </c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70">
      <c r="A122" s="4">
        <f t="array" ref="A122">IF(N(INDIRECT("'Pull Sheet'!I64"))&gt;0,INDIRECT("'Pull Sheet'!G64")&amp;"|"&amp;INDIRECT("'Pull Sheet'!H64"),"")</f>
        <v/>
      </c>
      <c r="B122" s="4">
        <f>IF(AND($A122&lt;&gt;"",COUNTIF($A$5:$A122,$A122)=1),MAX($B$4:$B121)+1,"")</f>
        <v/>
      </c>
      <c r="C122" s="4">
        <f t="array" ref="C122">IF($A122="","",N(INDIRECT("'Pull Sheet'!I64")))</f>
        <v/>
      </c>
      <c r="D122" s="4">
        <f>IF($B122="","",IF(IFERROR(VALUE(LEFT(LOWER(LEFT($A122,FIND("|",$A122)-1)),3)),IFERROR(VALUE(LEFT(LOWER(LEFT($A122,FIND("|",$A122)-1)),2)),IFERROR(VALUE(LEFT(LOWER(LEFT($A122,FIND("|",$A122)-1)),1)),-1)))&gt;=0,TEXT(IFERROR(VALUE(LEFT(LOWER(LEFT($A122,FIND("|",$A122)-1)),3)),IFERROR(VALUE(LEFT(LOWER(LEFT($A122,FIND("|",$A122)-1)),2)),IFERROR(VALUE(LEFT(LOWER(LEFT($A122,FIND("|",$A122)-1)),1)),-1))),"000000")&amp;MID(LOWER(LEFT($A122,FIND("|",$A122)-1)),LEN(TEXT(IFERROR(VALUE(LEFT(LOWER(LEFT($A122,FIND("|",$A122)-1)),3)),IFERROR(VALUE(LEFT(LOWER(LEFT($A122,FIND("|",$A122)-1)),2)),IFERROR(VALUE(LEFT(LOWER(LEFT($A122,FIND("|",$A122)-1)),1)),-1))),"0"))+1,99),LOWER(LEFT($A122,FIND("|",$A122)-1)))&amp;CHAR(9)&amp;TEXT(IF(SUBSTITUTE(MID($A122,FIND("|",$A122)+1,50),"'","")="",0,IFERROR(VALUE(SUBSTITUTE(MID($A122,FIND("|",$A122)+1,50),"'","")),999999)),"000000")&amp;CHAR(9)&amp;TEXT($B122,"0000"))</f>
        <v/>
      </c>
      <c r="E122" s="4">
        <f>IF($D122="","",SUMPRODUCT(($D$5:$D$364&lt;&gt;"")*($D$5:$D$364&lt;$D122))+1)</f>
        <v/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70">
      <c r="A123" s="4">
        <f t="array" ref="A123">IF(N(INDIRECT("'Pull Sheet'!I65"))&gt;0,INDIRECT("'Pull Sheet'!G65")&amp;"|"&amp;INDIRECT("'Pull Sheet'!H65"),"")</f>
        <v/>
      </c>
      <c r="B123" s="4">
        <f>IF(AND($A123&lt;&gt;"",COUNTIF($A$5:$A123,$A123)=1),MAX($B$4:$B122)+1,"")</f>
        <v/>
      </c>
      <c r="C123" s="4">
        <f t="array" ref="C123">IF($A123="","",N(INDIRECT("'Pull Sheet'!I65")))</f>
        <v/>
      </c>
      <c r="D123" s="4">
        <f>IF($B123="","",IF(IFERROR(VALUE(LEFT(LOWER(LEFT($A123,FIND("|",$A123)-1)),3)),IFERROR(VALUE(LEFT(LOWER(LEFT($A123,FIND("|",$A123)-1)),2)),IFERROR(VALUE(LEFT(LOWER(LEFT($A123,FIND("|",$A123)-1)),1)),-1)))&gt;=0,TEXT(IFERROR(VALUE(LEFT(LOWER(LEFT($A123,FIND("|",$A123)-1)),3)),IFERROR(VALUE(LEFT(LOWER(LEFT($A123,FIND("|",$A123)-1)),2)),IFERROR(VALUE(LEFT(LOWER(LEFT($A123,FIND("|",$A123)-1)),1)),-1))),"000000")&amp;MID(LOWER(LEFT($A123,FIND("|",$A123)-1)),LEN(TEXT(IFERROR(VALUE(LEFT(LOWER(LEFT($A123,FIND("|",$A123)-1)),3)),IFERROR(VALUE(LEFT(LOWER(LEFT($A123,FIND("|",$A123)-1)),2)),IFERROR(VALUE(LEFT(LOWER(LEFT($A123,FIND("|",$A123)-1)),1)),-1))),"0"))+1,99),LOWER(LEFT($A123,FIND("|",$A123)-1)))&amp;CHAR(9)&amp;TEXT(IF(SUBSTITUTE(MID($A123,FIND("|",$A123)+1,50),"'","")="",0,IFERROR(VALUE(SUBSTITUTE(MID($A123,FIND("|",$A123)+1,50),"'","")),999999)),"000000")&amp;CHAR(9)&amp;TEXT($B123,"0000"))</f>
        <v/>
      </c>
      <c r="E123" s="4">
        <f>IF($D123="","",SUMPRODUCT(($D$5:$D$364&lt;&gt;"")*($D$5:$D$364&lt;$D123))+1)</f>
        <v/>
      </c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70">
      <c r="A124" s="4">
        <f t="array" ref="A124">IF(N(INDIRECT("'Pull Sheet'!I66"))&gt;0,INDIRECT("'Pull Sheet'!G66")&amp;"|"&amp;INDIRECT("'Pull Sheet'!H66"),"")</f>
        <v/>
      </c>
      <c r="B124" s="4">
        <f>IF(AND($A124&lt;&gt;"",COUNTIF($A$5:$A124,$A124)=1),MAX($B$4:$B123)+1,"")</f>
        <v/>
      </c>
      <c r="C124" s="4">
        <f t="array" ref="C124">IF($A124="","",N(INDIRECT("'Pull Sheet'!I66")))</f>
        <v/>
      </c>
      <c r="D124" s="4">
        <f>IF($B124="","",IF(IFERROR(VALUE(LEFT(LOWER(LEFT($A124,FIND("|",$A124)-1)),3)),IFERROR(VALUE(LEFT(LOWER(LEFT($A124,FIND("|",$A124)-1)),2)),IFERROR(VALUE(LEFT(LOWER(LEFT($A124,FIND("|",$A124)-1)),1)),-1)))&gt;=0,TEXT(IFERROR(VALUE(LEFT(LOWER(LEFT($A124,FIND("|",$A124)-1)),3)),IFERROR(VALUE(LEFT(LOWER(LEFT($A124,FIND("|",$A124)-1)),2)),IFERROR(VALUE(LEFT(LOWER(LEFT($A124,FIND("|",$A124)-1)),1)),-1))),"000000")&amp;MID(LOWER(LEFT($A124,FIND("|",$A124)-1)),LEN(TEXT(IFERROR(VALUE(LEFT(LOWER(LEFT($A124,FIND("|",$A124)-1)),3)),IFERROR(VALUE(LEFT(LOWER(LEFT($A124,FIND("|",$A124)-1)),2)),IFERROR(VALUE(LEFT(LOWER(LEFT($A124,FIND("|",$A124)-1)),1)),-1))),"0"))+1,99),LOWER(LEFT($A124,FIND("|",$A124)-1)))&amp;CHAR(9)&amp;TEXT(IF(SUBSTITUTE(MID($A124,FIND("|",$A124)+1,50),"'","")="",0,IFERROR(VALUE(SUBSTITUTE(MID($A124,FIND("|",$A124)+1,50),"'","")),999999)),"000000")&amp;CHAR(9)&amp;TEXT($B124,"0000"))</f>
        <v/>
      </c>
      <c r="E124" s="4">
        <f>IF($D124="","",SUMPRODUCT(($D$5:$D$364&lt;&gt;"")*($D$5:$D$364&lt;$D124))+1)</f>
        <v/>
      </c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70">
      <c r="A125" s="4">
        <f t="array" ref="A125">IF(N(INDIRECT("'Pull Sheet'!O7"))&gt;0,INDIRECT("'Pull Sheet'!M7")&amp;"|"&amp;INDIRECT("'Pull Sheet'!N7"),"")</f>
        <v/>
      </c>
      <c r="B125" s="4">
        <f>IF(AND($A125&lt;&gt;"",COUNTIF($A$5:$A125,$A125)=1),MAX($B$4:$B124)+1,"")</f>
        <v/>
      </c>
      <c r="C125" s="4">
        <f t="array" ref="C125">IF($A125="","",N(INDIRECT("'Pull Sheet'!O7")))</f>
        <v/>
      </c>
      <c r="D125" s="4">
        <f>IF($B125="","",IF(IFERROR(VALUE(LEFT(LOWER(LEFT($A125,FIND("|",$A125)-1)),3)),IFERROR(VALUE(LEFT(LOWER(LEFT($A125,FIND("|",$A125)-1)),2)),IFERROR(VALUE(LEFT(LOWER(LEFT($A125,FIND("|",$A125)-1)),1)),-1)))&gt;=0,TEXT(IFERROR(VALUE(LEFT(LOWER(LEFT($A125,FIND("|",$A125)-1)),3)),IFERROR(VALUE(LEFT(LOWER(LEFT($A125,FIND("|",$A125)-1)),2)),IFERROR(VALUE(LEFT(LOWER(LEFT($A125,FIND("|",$A125)-1)),1)),-1))),"000000")&amp;MID(LOWER(LEFT($A125,FIND("|",$A125)-1)),LEN(TEXT(IFERROR(VALUE(LEFT(LOWER(LEFT($A125,FIND("|",$A125)-1)),3)),IFERROR(VALUE(LEFT(LOWER(LEFT($A125,FIND("|",$A125)-1)),2)),IFERROR(VALUE(LEFT(LOWER(LEFT($A125,FIND("|",$A125)-1)),1)),-1))),"0"))+1,99),LOWER(LEFT($A125,FIND("|",$A125)-1)))&amp;CHAR(9)&amp;TEXT(IF(SUBSTITUTE(MID($A125,FIND("|",$A125)+1,50),"'","")="",0,IFERROR(VALUE(SUBSTITUTE(MID($A125,FIND("|",$A125)+1,50),"'","")),999999)),"000000")&amp;CHAR(9)&amp;TEXT($B125,"0000"))</f>
        <v/>
      </c>
      <c r="E125" s="4">
        <f>IF($D125="","",SUMPRODUCT(($D$5:$D$364&lt;&gt;"")*($D$5:$D$364&lt;$D125))+1)</f>
        <v/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70">
      <c r="A126" s="4">
        <f t="array" ref="A126">IF(N(INDIRECT("'Pull Sheet'!O8"))&gt;0,INDIRECT("'Pull Sheet'!M8")&amp;"|"&amp;INDIRECT("'Pull Sheet'!N8"),"")</f>
        <v/>
      </c>
      <c r="B126" s="4">
        <f>IF(AND($A126&lt;&gt;"",COUNTIF($A$5:$A126,$A126)=1),MAX($B$4:$B125)+1,"")</f>
        <v/>
      </c>
      <c r="C126" s="4">
        <f t="array" ref="C126">IF($A126="","",N(INDIRECT("'Pull Sheet'!O8")))</f>
        <v/>
      </c>
      <c r="D126" s="4">
        <f>IF($B126="","",IF(IFERROR(VALUE(LEFT(LOWER(LEFT($A126,FIND("|",$A126)-1)),3)),IFERROR(VALUE(LEFT(LOWER(LEFT($A126,FIND("|",$A126)-1)),2)),IFERROR(VALUE(LEFT(LOWER(LEFT($A126,FIND("|",$A126)-1)),1)),-1)))&gt;=0,TEXT(IFERROR(VALUE(LEFT(LOWER(LEFT($A126,FIND("|",$A126)-1)),3)),IFERROR(VALUE(LEFT(LOWER(LEFT($A126,FIND("|",$A126)-1)),2)),IFERROR(VALUE(LEFT(LOWER(LEFT($A126,FIND("|",$A126)-1)),1)),-1))),"000000")&amp;MID(LOWER(LEFT($A126,FIND("|",$A126)-1)),LEN(TEXT(IFERROR(VALUE(LEFT(LOWER(LEFT($A126,FIND("|",$A126)-1)),3)),IFERROR(VALUE(LEFT(LOWER(LEFT($A126,FIND("|",$A126)-1)),2)),IFERROR(VALUE(LEFT(LOWER(LEFT($A126,FIND("|",$A126)-1)),1)),-1))),"0"))+1,99),LOWER(LEFT($A126,FIND("|",$A126)-1)))&amp;CHAR(9)&amp;TEXT(IF(SUBSTITUTE(MID($A126,FIND("|",$A126)+1,50),"'","")="",0,IFERROR(VALUE(SUBSTITUTE(MID($A126,FIND("|",$A126)+1,50),"'","")),999999)),"000000")&amp;CHAR(9)&amp;TEXT($B126,"0000"))</f>
        <v/>
      </c>
      <c r="E126" s="4">
        <f>IF($D126="","",SUMPRODUCT(($D$5:$D$364&lt;&gt;"")*($D$5:$D$364&lt;$D126))+1)</f>
        <v/>
      </c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70">
      <c r="A127" s="4">
        <f t="array" ref="A127">IF(N(INDIRECT("'Pull Sheet'!O9"))&gt;0,INDIRECT("'Pull Sheet'!M9")&amp;"|"&amp;INDIRECT("'Pull Sheet'!N9"),"")</f>
        <v/>
      </c>
      <c r="B127" s="4">
        <f>IF(AND($A127&lt;&gt;"",COUNTIF($A$5:$A127,$A127)=1),MAX($B$4:$B126)+1,"")</f>
        <v/>
      </c>
      <c r="C127" s="4">
        <f t="array" ref="C127">IF($A127="","",N(INDIRECT("'Pull Sheet'!O9")))</f>
        <v/>
      </c>
      <c r="D127" s="4">
        <f>IF($B127="","",IF(IFERROR(VALUE(LEFT(LOWER(LEFT($A127,FIND("|",$A127)-1)),3)),IFERROR(VALUE(LEFT(LOWER(LEFT($A127,FIND("|",$A127)-1)),2)),IFERROR(VALUE(LEFT(LOWER(LEFT($A127,FIND("|",$A127)-1)),1)),-1)))&gt;=0,TEXT(IFERROR(VALUE(LEFT(LOWER(LEFT($A127,FIND("|",$A127)-1)),3)),IFERROR(VALUE(LEFT(LOWER(LEFT($A127,FIND("|",$A127)-1)),2)),IFERROR(VALUE(LEFT(LOWER(LEFT($A127,FIND("|",$A127)-1)),1)),-1))),"000000")&amp;MID(LOWER(LEFT($A127,FIND("|",$A127)-1)),LEN(TEXT(IFERROR(VALUE(LEFT(LOWER(LEFT($A127,FIND("|",$A127)-1)),3)),IFERROR(VALUE(LEFT(LOWER(LEFT($A127,FIND("|",$A127)-1)),2)),IFERROR(VALUE(LEFT(LOWER(LEFT($A127,FIND("|",$A127)-1)),1)),-1))),"0"))+1,99),LOWER(LEFT($A127,FIND("|",$A127)-1)))&amp;CHAR(9)&amp;TEXT(IF(SUBSTITUTE(MID($A127,FIND("|",$A127)+1,50),"'","")="",0,IFERROR(VALUE(SUBSTITUTE(MID($A127,FIND("|",$A127)+1,50),"'","")),999999)),"000000")&amp;CHAR(9)&amp;TEXT($B127,"0000"))</f>
        <v/>
      </c>
      <c r="E127" s="4">
        <f>IF($D127="","",SUMPRODUCT(($D$5:$D$364&lt;&gt;"")*($D$5:$D$364&lt;$D127))+1)</f>
        <v/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70">
      <c r="A128" s="4">
        <f t="array" ref="A128">IF(N(INDIRECT("'Pull Sheet'!O10"))&gt;0,INDIRECT("'Pull Sheet'!M10")&amp;"|"&amp;INDIRECT("'Pull Sheet'!N10"),"")</f>
        <v/>
      </c>
      <c r="B128" s="4">
        <f>IF(AND($A128&lt;&gt;"",COUNTIF($A$5:$A128,$A128)=1),MAX($B$4:$B127)+1,"")</f>
        <v/>
      </c>
      <c r="C128" s="4">
        <f t="array" ref="C128">IF($A128="","",N(INDIRECT("'Pull Sheet'!O10")))</f>
        <v/>
      </c>
      <c r="D128" s="4">
        <f>IF($B128="","",IF(IFERROR(VALUE(LEFT(LOWER(LEFT($A128,FIND("|",$A128)-1)),3)),IFERROR(VALUE(LEFT(LOWER(LEFT($A128,FIND("|",$A128)-1)),2)),IFERROR(VALUE(LEFT(LOWER(LEFT($A128,FIND("|",$A128)-1)),1)),-1)))&gt;=0,TEXT(IFERROR(VALUE(LEFT(LOWER(LEFT($A128,FIND("|",$A128)-1)),3)),IFERROR(VALUE(LEFT(LOWER(LEFT($A128,FIND("|",$A128)-1)),2)),IFERROR(VALUE(LEFT(LOWER(LEFT($A128,FIND("|",$A128)-1)),1)),-1))),"000000")&amp;MID(LOWER(LEFT($A128,FIND("|",$A128)-1)),LEN(TEXT(IFERROR(VALUE(LEFT(LOWER(LEFT($A128,FIND("|",$A128)-1)),3)),IFERROR(VALUE(LEFT(LOWER(LEFT($A128,FIND("|",$A128)-1)),2)),IFERROR(VALUE(LEFT(LOWER(LEFT($A128,FIND("|",$A128)-1)),1)),-1))),"0"))+1,99),LOWER(LEFT($A128,FIND("|",$A128)-1)))&amp;CHAR(9)&amp;TEXT(IF(SUBSTITUTE(MID($A128,FIND("|",$A128)+1,50),"'","")="",0,IFERROR(VALUE(SUBSTITUTE(MID($A128,FIND("|",$A128)+1,50),"'","")),999999)),"000000")&amp;CHAR(9)&amp;TEXT($B128,"0000"))</f>
        <v/>
      </c>
      <c r="E128" s="4">
        <f>IF($D128="","",SUMPRODUCT(($D$5:$D$364&lt;&gt;"")*($D$5:$D$364&lt;$D128))+1)</f>
        <v/>
      </c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70">
      <c r="A129" s="4">
        <f t="array" ref="A129">IF(N(INDIRECT("'Pull Sheet'!O11"))&gt;0,INDIRECT("'Pull Sheet'!M11")&amp;"|"&amp;INDIRECT("'Pull Sheet'!N11"),"")</f>
        <v/>
      </c>
      <c r="B129" s="4">
        <f>IF(AND($A129&lt;&gt;"",COUNTIF($A$5:$A129,$A129)=1),MAX($B$4:$B128)+1,"")</f>
        <v/>
      </c>
      <c r="C129" s="4">
        <f t="array" ref="C129">IF($A129="","",N(INDIRECT("'Pull Sheet'!O11")))</f>
        <v/>
      </c>
      <c r="D129" s="4">
        <f>IF($B129="","",IF(IFERROR(VALUE(LEFT(LOWER(LEFT($A129,FIND("|",$A129)-1)),3)),IFERROR(VALUE(LEFT(LOWER(LEFT($A129,FIND("|",$A129)-1)),2)),IFERROR(VALUE(LEFT(LOWER(LEFT($A129,FIND("|",$A129)-1)),1)),-1)))&gt;=0,TEXT(IFERROR(VALUE(LEFT(LOWER(LEFT($A129,FIND("|",$A129)-1)),3)),IFERROR(VALUE(LEFT(LOWER(LEFT($A129,FIND("|",$A129)-1)),2)),IFERROR(VALUE(LEFT(LOWER(LEFT($A129,FIND("|",$A129)-1)),1)),-1))),"000000")&amp;MID(LOWER(LEFT($A129,FIND("|",$A129)-1)),LEN(TEXT(IFERROR(VALUE(LEFT(LOWER(LEFT($A129,FIND("|",$A129)-1)),3)),IFERROR(VALUE(LEFT(LOWER(LEFT($A129,FIND("|",$A129)-1)),2)),IFERROR(VALUE(LEFT(LOWER(LEFT($A129,FIND("|",$A129)-1)),1)),-1))),"0"))+1,99),LOWER(LEFT($A129,FIND("|",$A129)-1)))&amp;CHAR(9)&amp;TEXT(IF(SUBSTITUTE(MID($A129,FIND("|",$A129)+1,50),"'","")="",0,IFERROR(VALUE(SUBSTITUTE(MID($A129,FIND("|",$A129)+1,50),"'","")),999999)),"000000")&amp;CHAR(9)&amp;TEXT($B129,"0000"))</f>
        <v/>
      </c>
      <c r="E129" s="4">
        <f>IF($D129="","",SUMPRODUCT(($D$5:$D$364&lt;&gt;"")*($D$5:$D$364&lt;$D129))+1)</f>
        <v/>
      </c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70">
      <c r="A130" s="4">
        <f t="array" ref="A130">IF(N(INDIRECT("'Pull Sheet'!O12"))&gt;0,INDIRECT("'Pull Sheet'!M12")&amp;"|"&amp;INDIRECT("'Pull Sheet'!N12"),"")</f>
        <v/>
      </c>
      <c r="B130" s="4">
        <f>IF(AND($A130&lt;&gt;"",COUNTIF($A$5:$A130,$A130)=1),MAX($B$4:$B129)+1,"")</f>
        <v/>
      </c>
      <c r="C130" s="4">
        <f t="array" ref="C130">IF($A130="","",N(INDIRECT("'Pull Sheet'!O12")))</f>
        <v/>
      </c>
      <c r="D130" s="4">
        <f>IF($B130="","",IF(IFERROR(VALUE(LEFT(LOWER(LEFT($A130,FIND("|",$A130)-1)),3)),IFERROR(VALUE(LEFT(LOWER(LEFT($A130,FIND("|",$A130)-1)),2)),IFERROR(VALUE(LEFT(LOWER(LEFT($A130,FIND("|",$A130)-1)),1)),-1)))&gt;=0,TEXT(IFERROR(VALUE(LEFT(LOWER(LEFT($A130,FIND("|",$A130)-1)),3)),IFERROR(VALUE(LEFT(LOWER(LEFT($A130,FIND("|",$A130)-1)),2)),IFERROR(VALUE(LEFT(LOWER(LEFT($A130,FIND("|",$A130)-1)),1)),-1))),"000000")&amp;MID(LOWER(LEFT($A130,FIND("|",$A130)-1)),LEN(TEXT(IFERROR(VALUE(LEFT(LOWER(LEFT($A130,FIND("|",$A130)-1)),3)),IFERROR(VALUE(LEFT(LOWER(LEFT($A130,FIND("|",$A130)-1)),2)),IFERROR(VALUE(LEFT(LOWER(LEFT($A130,FIND("|",$A130)-1)),1)),-1))),"0"))+1,99),LOWER(LEFT($A130,FIND("|",$A130)-1)))&amp;CHAR(9)&amp;TEXT(IF(SUBSTITUTE(MID($A130,FIND("|",$A130)+1,50),"'","")="",0,IFERROR(VALUE(SUBSTITUTE(MID($A130,FIND("|",$A130)+1,50),"'","")),999999)),"000000")&amp;CHAR(9)&amp;TEXT($B130,"0000"))</f>
        <v/>
      </c>
      <c r="E130" s="4">
        <f>IF($D130="","",SUMPRODUCT(($D$5:$D$364&lt;&gt;"")*($D$5:$D$364&lt;$D130))+1)</f>
        <v/>
      </c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70">
      <c r="A131" s="4">
        <f t="array" ref="A131">IF(N(INDIRECT("'Pull Sheet'!O13"))&gt;0,INDIRECT("'Pull Sheet'!M13")&amp;"|"&amp;INDIRECT("'Pull Sheet'!N13"),"")</f>
        <v/>
      </c>
      <c r="B131" s="4">
        <f>IF(AND($A131&lt;&gt;"",COUNTIF($A$5:$A131,$A131)=1),MAX($B$4:$B130)+1,"")</f>
        <v/>
      </c>
      <c r="C131" s="4">
        <f t="array" ref="C131">IF($A131="","",N(INDIRECT("'Pull Sheet'!O13")))</f>
        <v/>
      </c>
      <c r="D131" s="4">
        <f>IF($B131="","",IF(IFERROR(VALUE(LEFT(LOWER(LEFT($A131,FIND("|",$A131)-1)),3)),IFERROR(VALUE(LEFT(LOWER(LEFT($A131,FIND("|",$A131)-1)),2)),IFERROR(VALUE(LEFT(LOWER(LEFT($A131,FIND("|",$A131)-1)),1)),-1)))&gt;=0,TEXT(IFERROR(VALUE(LEFT(LOWER(LEFT($A131,FIND("|",$A131)-1)),3)),IFERROR(VALUE(LEFT(LOWER(LEFT($A131,FIND("|",$A131)-1)),2)),IFERROR(VALUE(LEFT(LOWER(LEFT($A131,FIND("|",$A131)-1)),1)),-1))),"000000")&amp;MID(LOWER(LEFT($A131,FIND("|",$A131)-1)),LEN(TEXT(IFERROR(VALUE(LEFT(LOWER(LEFT($A131,FIND("|",$A131)-1)),3)),IFERROR(VALUE(LEFT(LOWER(LEFT($A131,FIND("|",$A131)-1)),2)),IFERROR(VALUE(LEFT(LOWER(LEFT($A131,FIND("|",$A131)-1)),1)),-1))),"0"))+1,99),LOWER(LEFT($A131,FIND("|",$A131)-1)))&amp;CHAR(9)&amp;TEXT(IF(SUBSTITUTE(MID($A131,FIND("|",$A131)+1,50),"'","")="",0,IFERROR(VALUE(SUBSTITUTE(MID($A131,FIND("|",$A131)+1,50),"'","")),999999)),"000000")&amp;CHAR(9)&amp;TEXT($B131,"0000"))</f>
        <v/>
      </c>
      <c r="E131" s="4">
        <f>IF($D131="","",SUMPRODUCT(($D$5:$D$364&lt;&gt;"")*($D$5:$D$364&lt;$D131))+1)</f>
        <v/>
      </c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70">
      <c r="A132" s="4">
        <f t="array" ref="A132">IF(N(INDIRECT("'Pull Sheet'!O14"))&gt;0,INDIRECT("'Pull Sheet'!M14")&amp;"|"&amp;INDIRECT("'Pull Sheet'!N14"),"")</f>
        <v/>
      </c>
      <c r="B132" s="4">
        <f>IF(AND($A132&lt;&gt;"",COUNTIF($A$5:$A132,$A132)=1),MAX($B$4:$B131)+1,"")</f>
        <v/>
      </c>
      <c r="C132" s="4">
        <f t="array" ref="C132">IF($A132="","",N(INDIRECT("'Pull Sheet'!O14")))</f>
        <v/>
      </c>
      <c r="D132" s="4">
        <f>IF($B132="","",IF(IFERROR(VALUE(LEFT(LOWER(LEFT($A132,FIND("|",$A132)-1)),3)),IFERROR(VALUE(LEFT(LOWER(LEFT($A132,FIND("|",$A132)-1)),2)),IFERROR(VALUE(LEFT(LOWER(LEFT($A132,FIND("|",$A132)-1)),1)),-1)))&gt;=0,TEXT(IFERROR(VALUE(LEFT(LOWER(LEFT($A132,FIND("|",$A132)-1)),3)),IFERROR(VALUE(LEFT(LOWER(LEFT($A132,FIND("|",$A132)-1)),2)),IFERROR(VALUE(LEFT(LOWER(LEFT($A132,FIND("|",$A132)-1)),1)),-1))),"000000")&amp;MID(LOWER(LEFT($A132,FIND("|",$A132)-1)),LEN(TEXT(IFERROR(VALUE(LEFT(LOWER(LEFT($A132,FIND("|",$A132)-1)),3)),IFERROR(VALUE(LEFT(LOWER(LEFT($A132,FIND("|",$A132)-1)),2)),IFERROR(VALUE(LEFT(LOWER(LEFT($A132,FIND("|",$A132)-1)),1)),-1))),"0"))+1,99),LOWER(LEFT($A132,FIND("|",$A132)-1)))&amp;CHAR(9)&amp;TEXT(IF(SUBSTITUTE(MID($A132,FIND("|",$A132)+1,50),"'","")="",0,IFERROR(VALUE(SUBSTITUTE(MID($A132,FIND("|",$A132)+1,50),"'","")),999999)),"000000")&amp;CHAR(9)&amp;TEXT($B132,"0000"))</f>
        <v/>
      </c>
      <c r="E132" s="4">
        <f>IF($D132="","",SUMPRODUCT(($D$5:$D$364&lt;&gt;"")*($D$5:$D$364&lt;$D132))+1)</f>
        <v/>
      </c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70">
      <c r="A133" s="4">
        <f t="array" ref="A133">IF(N(INDIRECT("'Pull Sheet'!O15"))&gt;0,INDIRECT("'Pull Sheet'!M15")&amp;"|"&amp;INDIRECT("'Pull Sheet'!N15"),"")</f>
        <v/>
      </c>
      <c r="B133" s="4">
        <f>IF(AND($A133&lt;&gt;"",COUNTIF($A$5:$A133,$A133)=1),MAX($B$4:$B132)+1,"")</f>
        <v/>
      </c>
      <c r="C133" s="4">
        <f t="array" ref="C133">IF($A133="","",N(INDIRECT("'Pull Sheet'!O15")))</f>
        <v/>
      </c>
      <c r="D133" s="4">
        <f>IF($B133="","",IF(IFERROR(VALUE(LEFT(LOWER(LEFT($A133,FIND("|",$A133)-1)),3)),IFERROR(VALUE(LEFT(LOWER(LEFT($A133,FIND("|",$A133)-1)),2)),IFERROR(VALUE(LEFT(LOWER(LEFT($A133,FIND("|",$A133)-1)),1)),-1)))&gt;=0,TEXT(IFERROR(VALUE(LEFT(LOWER(LEFT($A133,FIND("|",$A133)-1)),3)),IFERROR(VALUE(LEFT(LOWER(LEFT($A133,FIND("|",$A133)-1)),2)),IFERROR(VALUE(LEFT(LOWER(LEFT($A133,FIND("|",$A133)-1)),1)),-1))),"000000")&amp;MID(LOWER(LEFT($A133,FIND("|",$A133)-1)),LEN(TEXT(IFERROR(VALUE(LEFT(LOWER(LEFT($A133,FIND("|",$A133)-1)),3)),IFERROR(VALUE(LEFT(LOWER(LEFT($A133,FIND("|",$A133)-1)),2)),IFERROR(VALUE(LEFT(LOWER(LEFT($A133,FIND("|",$A133)-1)),1)),-1))),"0"))+1,99),LOWER(LEFT($A133,FIND("|",$A133)-1)))&amp;CHAR(9)&amp;TEXT(IF(SUBSTITUTE(MID($A133,FIND("|",$A133)+1,50),"'","")="",0,IFERROR(VALUE(SUBSTITUTE(MID($A133,FIND("|",$A133)+1,50),"'","")),999999)),"000000")&amp;CHAR(9)&amp;TEXT($B133,"0000"))</f>
        <v/>
      </c>
      <c r="E133" s="4">
        <f>IF($D133="","",SUMPRODUCT(($D$5:$D$364&lt;&gt;"")*($D$5:$D$364&lt;$D133))+1)</f>
        <v/>
      </c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70">
      <c r="A134" s="4">
        <f t="array" ref="A134">IF(N(INDIRECT("'Pull Sheet'!O16"))&gt;0,INDIRECT("'Pull Sheet'!M16")&amp;"|"&amp;INDIRECT("'Pull Sheet'!N16"),"")</f>
        <v/>
      </c>
      <c r="B134" s="4">
        <f>IF(AND($A134&lt;&gt;"",COUNTIF($A$5:$A134,$A134)=1),MAX($B$4:$B133)+1,"")</f>
        <v/>
      </c>
      <c r="C134" s="4">
        <f t="array" ref="C134">IF($A134="","",N(INDIRECT("'Pull Sheet'!O16")))</f>
        <v/>
      </c>
      <c r="D134" s="4">
        <f>IF($B134="","",IF(IFERROR(VALUE(LEFT(LOWER(LEFT($A134,FIND("|",$A134)-1)),3)),IFERROR(VALUE(LEFT(LOWER(LEFT($A134,FIND("|",$A134)-1)),2)),IFERROR(VALUE(LEFT(LOWER(LEFT($A134,FIND("|",$A134)-1)),1)),-1)))&gt;=0,TEXT(IFERROR(VALUE(LEFT(LOWER(LEFT($A134,FIND("|",$A134)-1)),3)),IFERROR(VALUE(LEFT(LOWER(LEFT($A134,FIND("|",$A134)-1)),2)),IFERROR(VALUE(LEFT(LOWER(LEFT($A134,FIND("|",$A134)-1)),1)),-1))),"000000")&amp;MID(LOWER(LEFT($A134,FIND("|",$A134)-1)),LEN(TEXT(IFERROR(VALUE(LEFT(LOWER(LEFT($A134,FIND("|",$A134)-1)),3)),IFERROR(VALUE(LEFT(LOWER(LEFT($A134,FIND("|",$A134)-1)),2)),IFERROR(VALUE(LEFT(LOWER(LEFT($A134,FIND("|",$A134)-1)),1)),-1))),"0"))+1,99),LOWER(LEFT($A134,FIND("|",$A134)-1)))&amp;CHAR(9)&amp;TEXT(IF(SUBSTITUTE(MID($A134,FIND("|",$A134)+1,50),"'","")="",0,IFERROR(VALUE(SUBSTITUTE(MID($A134,FIND("|",$A134)+1,50),"'","")),999999)),"000000")&amp;CHAR(9)&amp;TEXT($B134,"0000"))</f>
        <v/>
      </c>
      <c r="E134" s="4">
        <f>IF($D134="","",SUMPRODUCT(($D$5:$D$364&lt;&gt;"")*($D$5:$D$364&lt;$D134))+1)</f>
        <v/>
      </c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70">
      <c r="A135" s="4">
        <f t="array" ref="A135">IF(N(INDIRECT("'Pull Sheet'!O17"))&gt;0,INDIRECT("'Pull Sheet'!M17")&amp;"|"&amp;INDIRECT("'Pull Sheet'!N17"),"")</f>
        <v/>
      </c>
      <c r="B135" s="4">
        <f>IF(AND($A135&lt;&gt;"",COUNTIF($A$5:$A135,$A135)=1),MAX($B$4:$B134)+1,"")</f>
        <v/>
      </c>
      <c r="C135" s="4">
        <f t="array" ref="C135">IF($A135="","",N(INDIRECT("'Pull Sheet'!O17")))</f>
        <v/>
      </c>
      <c r="D135" s="4">
        <f>IF($B135="","",IF(IFERROR(VALUE(LEFT(LOWER(LEFT($A135,FIND("|",$A135)-1)),3)),IFERROR(VALUE(LEFT(LOWER(LEFT($A135,FIND("|",$A135)-1)),2)),IFERROR(VALUE(LEFT(LOWER(LEFT($A135,FIND("|",$A135)-1)),1)),-1)))&gt;=0,TEXT(IFERROR(VALUE(LEFT(LOWER(LEFT($A135,FIND("|",$A135)-1)),3)),IFERROR(VALUE(LEFT(LOWER(LEFT($A135,FIND("|",$A135)-1)),2)),IFERROR(VALUE(LEFT(LOWER(LEFT($A135,FIND("|",$A135)-1)),1)),-1))),"000000")&amp;MID(LOWER(LEFT($A135,FIND("|",$A135)-1)),LEN(TEXT(IFERROR(VALUE(LEFT(LOWER(LEFT($A135,FIND("|",$A135)-1)),3)),IFERROR(VALUE(LEFT(LOWER(LEFT($A135,FIND("|",$A135)-1)),2)),IFERROR(VALUE(LEFT(LOWER(LEFT($A135,FIND("|",$A135)-1)),1)),-1))),"0"))+1,99),LOWER(LEFT($A135,FIND("|",$A135)-1)))&amp;CHAR(9)&amp;TEXT(IF(SUBSTITUTE(MID($A135,FIND("|",$A135)+1,50),"'","")="",0,IFERROR(VALUE(SUBSTITUTE(MID($A135,FIND("|",$A135)+1,50),"'","")),999999)),"000000")&amp;CHAR(9)&amp;TEXT($B135,"0000"))</f>
        <v/>
      </c>
      <c r="E135" s="4">
        <f>IF($D135="","",SUMPRODUCT(($D$5:$D$364&lt;&gt;"")*($D$5:$D$364&lt;$D135))+1)</f>
        <v/>
      </c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70">
      <c r="A136" s="4">
        <f t="array" ref="A136">IF(N(INDIRECT("'Pull Sheet'!O18"))&gt;0,INDIRECT("'Pull Sheet'!M18")&amp;"|"&amp;INDIRECT("'Pull Sheet'!N18"),"")</f>
        <v/>
      </c>
      <c r="B136" s="4">
        <f>IF(AND($A136&lt;&gt;"",COUNTIF($A$5:$A136,$A136)=1),MAX($B$4:$B135)+1,"")</f>
        <v/>
      </c>
      <c r="C136" s="4">
        <f t="array" ref="C136">IF($A136="","",N(INDIRECT("'Pull Sheet'!O18")))</f>
        <v/>
      </c>
      <c r="D136" s="4">
        <f>IF($B136="","",IF(IFERROR(VALUE(LEFT(LOWER(LEFT($A136,FIND("|",$A136)-1)),3)),IFERROR(VALUE(LEFT(LOWER(LEFT($A136,FIND("|",$A136)-1)),2)),IFERROR(VALUE(LEFT(LOWER(LEFT($A136,FIND("|",$A136)-1)),1)),-1)))&gt;=0,TEXT(IFERROR(VALUE(LEFT(LOWER(LEFT($A136,FIND("|",$A136)-1)),3)),IFERROR(VALUE(LEFT(LOWER(LEFT($A136,FIND("|",$A136)-1)),2)),IFERROR(VALUE(LEFT(LOWER(LEFT($A136,FIND("|",$A136)-1)),1)),-1))),"000000")&amp;MID(LOWER(LEFT($A136,FIND("|",$A136)-1)),LEN(TEXT(IFERROR(VALUE(LEFT(LOWER(LEFT($A136,FIND("|",$A136)-1)),3)),IFERROR(VALUE(LEFT(LOWER(LEFT($A136,FIND("|",$A136)-1)),2)),IFERROR(VALUE(LEFT(LOWER(LEFT($A136,FIND("|",$A136)-1)),1)),-1))),"0"))+1,99),LOWER(LEFT($A136,FIND("|",$A136)-1)))&amp;CHAR(9)&amp;TEXT(IF(SUBSTITUTE(MID($A136,FIND("|",$A136)+1,50),"'","")="",0,IFERROR(VALUE(SUBSTITUTE(MID($A136,FIND("|",$A136)+1,50),"'","")),999999)),"000000")&amp;CHAR(9)&amp;TEXT($B136,"0000"))</f>
        <v/>
      </c>
      <c r="E136" s="4">
        <f>IF($D136="","",SUMPRODUCT(($D$5:$D$364&lt;&gt;"")*($D$5:$D$364&lt;$D136))+1)</f>
        <v/>
      </c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70">
      <c r="A137" s="4">
        <f t="array" ref="A137">IF(N(INDIRECT("'Pull Sheet'!O19"))&gt;0,INDIRECT("'Pull Sheet'!M19")&amp;"|"&amp;INDIRECT("'Pull Sheet'!N19"),"")</f>
        <v/>
      </c>
      <c r="B137" s="4">
        <f>IF(AND($A137&lt;&gt;"",COUNTIF($A$5:$A137,$A137)=1),MAX($B$4:$B136)+1,"")</f>
        <v/>
      </c>
      <c r="C137" s="4">
        <f t="array" ref="C137">IF($A137="","",N(INDIRECT("'Pull Sheet'!O19")))</f>
        <v/>
      </c>
      <c r="D137" s="4">
        <f>IF($B137="","",IF(IFERROR(VALUE(LEFT(LOWER(LEFT($A137,FIND("|",$A137)-1)),3)),IFERROR(VALUE(LEFT(LOWER(LEFT($A137,FIND("|",$A137)-1)),2)),IFERROR(VALUE(LEFT(LOWER(LEFT($A137,FIND("|",$A137)-1)),1)),-1)))&gt;=0,TEXT(IFERROR(VALUE(LEFT(LOWER(LEFT($A137,FIND("|",$A137)-1)),3)),IFERROR(VALUE(LEFT(LOWER(LEFT($A137,FIND("|",$A137)-1)),2)),IFERROR(VALUE(LEFT(LOWER(LEFT($A137,FIND("|",$A137)-1)),1)),-1))),"000000")&amp;MID(LOWER(LEFT($A137,FIND("|",$A137)-1)),LEN(TEXT(IFERROR(VALUE(LEFT(LOWER(LEFT($A137,FIND("|",$A137)-1)),3)),IFERROR(VALUE(LEFT(LOWER(LEFT($A137,FIND("|",$A137)-1)),2)),IFERROR(VALUE(LEFT(LOWER(LEFT($A137,FIND("|",$A137)-1)),1)),-1))),"0"))+1,99),LOWER(LEFT($A137,FIND("|",$A137)-1)))&amp;CHAR(9)&amp;TEXT(IF(SUBSTITUTE(MID($A137,FIND("|",$A137)+1,50),"'","")="",0,IFERROR(VALUE(SUBSTITUTE(MID($A137,FIND("|",$A137)+1,50),"'","")),999999)),"000000")&amp;CHAR(9)&amp;TEXT($B137,"0000"))</f>
        <v/>
      </c>
      <c r="E137" s="4">
        <f>IF($D137="","",SUMPRODUCT(($D$5:$D$364&lt;&gt;"")*($D$5:$D$364&lt;$D137))+1)</f>
        <v/>
      </c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70">
      <c r="A138" s="4">
        <f t="array" ref="A138">IF(N(INDIRECT("'Pull Sheet'!O20"))&gt;0,INDIRECT("'Pull Sheet'!M20")&amp;"|"&amp;INDIRECT("'Pull Sheet'!N20"),"")</f>
        <v/>
      </c>
      <c r="B138" s="4">
        <f>IF(AND($A138&lt;&gt;"",COUNTIF($A$5:$A138,$A138)=1),MAX($B$4:$B137)+1,"")</f>
        <v/>
      </c>
      <c r="C138" s="4">
        <f t="array" ref="C138">IF($A138="","",N(INDIRECT("'Pull Sheet'!O20")))</f>
        <v/>
      </c>
      <c r="D138" s="4">
        <f>IF($B138="","",IF(IFERROR(VALUE(LEFT(LOWER(LEFT($A138,FIND("|",$A138)-1)),3)),IFERROR(VALUE(LEFT(LOWER(LEFT($A138,FIND("|",$A138)-1)),2)),IFERROR(VALUE(LEFT(LOWER(LEFT($A138,FIND("|",$A138)-1)),1)),-1)))&gt;=0,TEXT(IFERROR(VALUE(LEFT(LOWER(LEFT($A138,FIND("|",$A138)-1)),3)),IFERROR(VALUE(LEFT(LOWER(LEFT($A138,FIND("|",$A138)-1)),2)),IFERROR(VALUE(LEFT(LOWER(LEFT($A138,FIND("|",$A138)-1)),1)),-1))),"000000")&amp;MID(LOWER(LEFT($A138,FIND("|",$A138)-1)),LEN(TEXT(IFERROR(VALUE(LEFT(LOWER(LEFT($A138,FIND("|",$A138)-1)),3)),IFERROR(VALUE(LEFT(LOWER(LEFT($A138,FIND("|",$A138)-1)),2)),IFERROR(VALUE(LEFT(LOWER(LEFT($A138,FIND("|",$A138)-1)),1)),-1))),"0"))+1,99),LOWER(LEFT($A138,FIND("|",$A138)-1)))&amp;CHAR(9)&amp;TEXT(IF(SUBSTITUTE(MID($A138,FIND("|",$A138)+1,50),"'","")="",0,IFERROR(VALUE(SUBSTITUTE(MID($A138,FIND("|",$A138)+1,50),"'","")),999999)),"000000")&amp;CHAR(9)&amp;TEXT($B138,"0000"))</f>
        <v/>
      </c>
      <c r="E138" s="4">
        <f>IF($D138="","",SUMPRODUCT(($D$5:$D$364&lt;&gt;"")*($D$5:$D$364&lt;$D138))+1)</f>
        <v/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70">
      <c r="A139" s="4">
        <f t="array" ref="A139">IF(N(INDIRECT("'Pull Sheet'!O21"))&gt;0,INDIRECT("'Pull Sheet'!M21")&amp;"|"&amp;INDIRECT("'Pull Sheet'!N21"),"")</f>
        <v/>
      </c>
      <c r="B139" s="4">
        <f>IF(AND($A139&lt;&gt;"",COUNTIF($A$5:$A139,$A139)=1),MAX($B$4:$B138)+1,"")</f>
        <v/>
      </c>
      <c r="C139" s="4">
        <f t="array" ref="C139">IF($A139="","",N(INDIRECT("'Pull Sheet'!O21")))</f>
        <v/>
      </c>
      <c r="D139" s="4">
        <f>IF($B139="","",IF(IFERROR(VALUE(LEFT(LOWER(LEFT($A139,FIND("|",$A139)-1)),3)),IFERROR(VALUE(LEFT(LOWER(LEFT($A139,FIND("|",$A139)-1)),2)),IFERROR(VALUE(LEFT(LOWER(LEFT($A139,FIND("|",$A139)-1)),1)),-1)))&gt;=0,TEXT(IFERROR(VALUE(LEFT(LOWER(LEFT($A139,FIND("|",$A139)-1)),3)),IFERROR(VALUE(LEFT(LOWER(LEFT($A139,FIND("|",$A139)-1)),2)),IFERROR(VALUE(LEFT(LOWER(LEFT($A139,FIND("|",$A139)-1)),1)),-1))),"000000")&amp;MID(LOWER(LEFT($A139,FIND("|",$A139)-1)),LEN(TEXT(IFERROR(VALUE(LEFT(LOWER(LEFT($A139,FIND("|",$A139)-1)),3)),IFERROR(VALUE(LEFT(LOWER(LEFT($A139,FIND("|",$A139)-1)),2)),IFERROR(VALUE(LEFT(LOWER(LEFT($A139,FIND("|",$A139)-1)),1)),-1))),"0"))+1,99),LOWER(LEFT($A139,FIND("|",$A139)-1)))&amp;CHAR(9)&amp;TEXT(IF(SUBSTITUTE(MID($A139,FIND("|",$A139)+1,50),"'","")="",0,IFERROR(VALUE(SUBSTITUTE(MID($A139,FIND("|",$A139)+1,50),"'","")),999999)),"000000")&amp;CHAR(9)&amp;TEXT($B139,"0000"))</f>
        <v/>
      </c>
      <c r="E139" s="4">
        <f>IF($D139="","",SUMPRODUCT(($D$5:$D$364&lt;&gt;"")*($D$5:$D$364&lt;$D139))+1)</f>
        <v/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70">
      <c r="A140" s="4">
        <f t="array" ref="A140">IF(N(INDIRECT("'Pull Sheet'!O22"))&gt;0,INDIRECT("'Pull Sheet'!M22")&amp;"|"&amp;INDIRECT("'Pull Sheet'!N22"),"")</f>
        <v/>
      </c>
      <c r="B140" s="4">
        <f>IF(AND($A140&lt;&gt;"",COUNTIF($A$5:$A140,$A140)=1),MAX($B$4:$B139)+1,"")</f>
        <v/>
      </c>
      <c r="C140" s="4">
        <f t="array" ref="C140">IF($A140="","",N(INDIRECT("'Pull Sheet'!O22")))</f>
        <v/>
      </c>
      <c r="D140" s="4">
        <f>IF($B140="","",IF(IFERROR(VALUE(LEFT(LOWER(LEFT($A140,FIND("|",$A140)-1)),3)),IFERROR(VALUE(LEFT(LOWER(LEFT($A140,FIND("|",$A140)-1)),2)),IFERROR(VALUE(LEFT(LOWER(LEFT($A140,FIND("|",$A140)-1)),1)),-1)))&gt;=0,TEXT(IFERROR(VALUE(LEFT(LOWER(LEFT($A140,FIND("|",$A140)-1)),3)),IFERROR(VALUE(LEFT(LOWER(LEFT($A140,FIND("|",$A140)-1)),2)),IFERROR(VALUE(LEFT(LOWER(LEFT($A140,FIND("|",$A140)-1)),1)),-1))),"000000")&amp;MID(LOWER(LEFT($A140,FIND("|",$A140)-1)),LEN(TEXT(IFERROR(VALUE(LEFT(LOWER(LEFT($A140,FIND("|",$A140)-1)),3)),IFERROR(VALUE(LEFT(LOWER(LEFT($A140,FIND("|",$A140)-1)),2)),IFERROR(VALUE(LEFT(LOWER(LEFT($A140,FIND("|",$A140)-1)),1)),-1))),"0"))+1,99),LOWER(LEFT($A140,FIND("|",$A140)-1)))&amp;CHAR(9)&amp;TEXT(IF(SUBSTITUTE(MID($A140,FIND("|",$A140)+1,50),"'","")="",0,IFERROR(VALUE(SUBSTITUTE(MID($A140,FIND("|",$A140)+1,50),"'","")),999999)),"000000")&amp;CHAR(9)&amp;TEXT($B140,"0000"))</f>
        <v/>
      </c>
      <c r="E140" s="4">
        <f>IF($D140="","",SUMPRODUCT(($D$5:$D$364&lt;&gt;"")*($D$5:$D$364&lt;$D140))+1)</f>
        <v/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70">
      <c r="A141" s="4">
        <f t="array" ref="A141">IF(N(INDIRECT("'Pull Sheet'!O23"))&gt;0,INDIRECT("'Pull Sheet'!M23")&amp;"|"&amp;INDIRECT("'Pull Sheet'!N23"),"")</f>
        <v/>
      </c>
      <c r="B141" s="4">
        <f>IF(AND($A141&lt;&gt;"",COUNTIF($A$5:$A141,$A141)=1),MAX($B$4:$B140)+1,"")</f>
        <v/>
      </c>
      <c r="C141" s="4">
        <f t="array" ref="C141">IF($A141="","",N(INDIRECT("'Pull Sheet'!O23")))</f>
        <v/>
      </c>
      <c r="D141" s="4">
        <f>IF($B141="","",IF(IFERROR(VALUE(LEFT(LOWER(LEFT($A141,FIND("|",$A141)-1)),3)),IFERROR(VALUE(LEFT(LOWER(LEFT($A141,FIND("|",$A141)-1)),2)),IFERROR(VALUE(LEFT(LOWER(LEFT($A141,FIND("|",$A141)-1)),1)),-1)))&gt;=0,TEXT(IFERROR(VALUE(LEFT(LOWER(LEFT($A141,FIND("|",$A141)-1)),3)),IFERROR(VALUE(LEFT(LOWER(LEFT($A141,FIND("|",$A141)-1)),2)),IFERROR(VALUE(LEFT(LOWER(LEFT($A141,FIND("|",$A141)-1)),1)),-1))),"000000")&amp;MID(LOWER(LEFT($A141,FIND("|",$A141)-1)),LEN(TEXT(IFERROR(VALUE(LEFT(LOWER(LEFT($A141,FIND("|",$A141)-1)),3)),IFERROR(VALUE(LEFT(LOWER(LEFT($A141,FIND("|",$A141)-1)),2)),IFERROR(VALUE(LEFT(LOWER(LEFT($A141,FIND("|",$A141)-1)),1)),-1))),"0"))+1,99),LOWER(LEFT($A141,FIND("|",$A141)-1)))&amp;CHAR(9)&amp;TEXT(IF(SUBSTITUTE(MID($A141,FIND("|",$A141)+1,50),"'","")="",0,IFERROR(VALUE(SUBSTITUTE(MID($A141,FIND("|",$A141)+1,50),"'","")),999999)),"000000")&amp;CHAR(9)&amp;TEXT($B141,"0000"))</f>
        <v/>
      </c>
      <c r="E141" s="4">
        <f>IF($D141="","",SUMPRODUCT(($D$5:$D$364&lt;&gt;"")*($D$5:$D$364&lt;$D141))+1)</f>
        <v/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70">
      <c r="A142" s="4">
        <f t="array" ref="A142">IF(N(INDIRECT("'Pull Sheet'!O24"))&gt;0,INDIRECT("'Pull Sheet'!M24")&amp;"|"&amp;INDIRECT("'Pull Sheet'!N24"),"")</f>
        <v/>
      </c>
      <c r="B142" s="4">
        <f>IF(AND($A142&lt;&gt;"",COUNTIF($A$5:$A142,$A142)=1),MAX($B$4:$B141)+1,"")</f>
        <v/>
      </c>
      <c r="C142" s="4">
        <f t="array" ref="C142">IF($A142="","",N(INDIRECT("'Pull Sheet'!O24")))</f>
        <v/>
      </c>
      <c r="D142" s="4">
        <f>IF($B142="","",IF(IFERROR(VALUE(LEFT(LOWER(LEFT($A142,FIND("|",$A142)-1)),3)),IFERROR(VALUE(LEFT(LOWER(LEFT($A142,FIND("|",$A142)-1)),2)),IFERROR(VALUE(LEFT(LOWER(LEFT($A142,FIND("|",$A142)-1)),1)),-1)))&gt;=0,TEXT(IFERROR(VALUE(LEFT(LOWER(LEFT($A142,FIND("|",$A142)-1)),3)),IFERROR(VALUE(LEFT(LOWER(LEFT($A142,FIND("|",$A142)-1)),2)),IFERROR(VALUE(LEFT(LOWER(LEFT($A142,FIND("|",$A142)-1)),1)),-1))),"000000")&amp;MID(LOWER(LEFT($A142,FIND("|",$A142)-1)),LEN(TEXT(IFERROR(VALUE(LEFT(LOWER(LEFT($A142,FIND("|",$A142)-1)),3)),IFERROR(VALUE(LEFT(LOWER(LEFT($A142,FIND("|",$A142)-1)),2)),IFERROR(VALUE(LEFT(LOWER(LEFT($A142,FIND("|",$A142)-1)),1)),-1))),"0"))+1,99),LOWER(LEFT($A142,FIND("|",$A142)-1)))&amp;CHAR(9)&amp;TEXT(IF(SUBSTITUTE(MID($A142,FIND("|",$A142)+1,50),"'","")="",0,IFERROR(VALUE(SUBSTITUTE(MID($A142,FIND("|",$A142)+1,50),"'","")),999999)),"000000")&amp;CHAR(9)&amp;TEXT($B142,"0000"))</f>
        <v/>
      </c>
      <c r="E142" s="4">
        <f>IF($D142="","",SUMPRODUCT(($D$5:$D$364&lt;&gt;"")*($D$5:$D$364&lt;$D142))+1)</f>
        <v/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70">
      <c r="A143" s="4">
        <f t="array" ref="A143">IF(N(INDIRECT("'Pull Sheet'!O25"))&gt;0,INDIRECT("'Pull Sheet'!M25")&amp;"|"&amp;INDIRECT("'Pull Sheet'!N25"),"")</f>
        <v/>
      </c>
      <c r="B143" s="4">
        <f>IF(AND($A143&lt;&gt;"",COUNTIF($A$5:$A143,$A143)=1),MAX($B$4:$B142)+1,"")</f>
        <v/>
      </c>
      <c r="C143" s="4">
        <f t="array" ref="C143">IF($A143="","",N(INDIRECT("'Pull Sheet'!O25")))</f>
        <v/>
      </c>
      <c r="D143" s="4">
        <f>IF($B143="","",IF(IFERROR(VALUE(LEFT(LOWER(LEFT($A143,FIND("|",$A143)-1)),3)),IFERROR(VALUE(LEFT(LOWER(LEFT($A143,FIND("|",$A143)-1)),2)),IFERROR(VALUE(LEFT(LOWER(LEFT($A143,FIND("|",$A143)-1)),1)),-1)))&gt;=0,TEXT(IFERROR(VALUE(LEFT(LOWER(LEFT($A143,FIND("|",$A143)-1)),3)),IFERROR(VALUE(LEFT(LOWER(LEFT($A143,FIND("|",$A143)-1)),2)),IFERROR(VALUE(LEFT(LOWER(LEFT($A143,FIND("|",$A143)-1)),1)),-1))),"000000")&amp;MID(LOWER(LEFT($A143,FIND("|",$A143)-1)),LEN(TEXT(IFERROR(VALUE(LEFT(LOWER(LEFT($A143,FIND("|",$A143)-1)),3)),IFERROR(VALUE(LEFT(LOWER(LEFT($A143,FIND("|",$A143)-1)),2)),IFERROR(VALUE(LEFT(LOWER(LEFT($A143,FIND("|",$A143)-1)),1)),-1))),"0"))+1,99),LOWER(LEFT($A143,FIND("|",$A143)-1)))&amp;CHAR(9)&amp;TEXT(IF(SUBSTITUTE(MID($A143,FIND("|",$A143)+1,50),"'","")="",0,IFERROR(VALUE(SUBSTITUTE(MID($A143,FIND("|",$A143)+1,50),"'","")),999999)),"000000")&amp;CHAR(9)&amp;TEXT($B143,"0000"))</f>
        <v/>
      </c>
      <c r="E143" s="4">
        <f>IF($D143="","",SUMPRODUCT(($D$5:$D$364&lt;&gt;"")*($D$5:$D$364&lt;$D143))+1)</f>
        <v/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70">
      <c r="A144" s="4">
        <f t="array" ref="A144">IF(N(INDIRECT("'Pull Sheet'!O26"))&gt;0,INDIRECT("'Pull Sheet'!M26")&amp;"|"&amp;INDIRECT("'Pull Sheet'!N26"),"")</f>
        <v/>
      </c>
      <c r="B144" s="4">
        <f>IF(AND($A144&lt;&gt;"",COUNTIF($A$5:$A144,$A144)=1),MAX($B$4:$B143)+1,"")</f>
        <v/>
      </c>
      <c r="C144" s="4">
        <f t="array" ref="C144">IF($A144="","",N(INDIRECT("'Pull Sheet'!O26")))</f>
        <v/>
      </c>
      <c r="D144" s="4">
        <f>IF($B144="","",IF(IFERROR(VALUE(LEFT(LOWER(LEFT($A144,FIND("|",$A144)-1)),3)),IFERROR(VALUE(LEFT(LOWER(LEFT($A144,FIND("|",$A144)-1)),2)),IFERROR(VALUE(LEFT(LOWER(LEFT($A144,FIND("|",$A144)-1)),1)),-1)))&gt;=0,TEXT(IFERROR(VALUE(LEFT(LOWER(LEFT($A144,FIND("|",$A144)-1)),3)),IFERROR(VALUE(LEFT(LOWER(LEFT($A144,FIND("|",$A144)-1)),2)),IFERROR(VALUE(LEFT(LOWER(LEFT($A144,FIND("|",$A144)-1)),1)),-1))),"000000")&amp;MID(LOWER(LEFT($A144,FIND("|",$A144)-1)),LEN(TEXT(IFERROR(VALUE(LEFT(LOWER(LEFT($A144,FIND("|",$A144)-1)),3)),IFERROR(VALUE(LEFT(LOWER(LEFT($A144,FIND("|",$A144)-1)),2)),IFERROR(VALUE(LEFT(LOWER(LEFT($A144,FIND("|",$A144)-1)),1)),-1))),"0"))+1,99),LOWER(LEFT($A144,FIND("|",$A144)-1)))&amp;CHAR(9)&amp;TEXT(IF(SUBSTITUTE(MID($A144,FIND("|",$A144)+1,50),"'","")="",0,IFERROR(VALUE(SUBSTITUTE(MID($A144,FIND("|",$A144)+1,50),"'","")),999999)),"000000")&amp;CHAR(9)&amp;TEXT($B144,"0000"))</f>
        <v/>
      </c>
      <c r="E144" s="4">
        <f>IF($D144="","",SUMPRODUCT(($D$5:$D$364&lt;&gt;"")*($D$5:$D$364&lt;$D144))+1)</f>
        <v/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70">
      <c r="A145" s="4">
        <f t="array" ref="A145">IF(N(INDIRECT("'Pull Sheet'!O27"))&gt;0,INDIRECT("'Pull Sheet'!M27")&amp;"|"&amp;INDIRECT("'Pull Sheet'!N27"),"")</f>
        <v/>
      </c>
      <c r="B145" s="4">
        <f>IF(AND($A145&lt;&gt;"",COUNTIF($A$5:$A145,$A145)=1),MAX($B$4:$B144)+1,"")</f>
        <v/>
      </c>
      <c r="C145" s="4">
        <f t="array" ref="C145">IF($A145="","",N(INDIRECT("'Pull Sheet'!O27")))</f>
        <v/>
      </c>
      <c r="D145" s="4">
        <f>IF($B145="","",IF(IFERROR(VALUE(LEFT(LOWER(LEFT($A145,FIND("|",$A145)-1)),3)),IFERROR(VALUE(LEFT(LOWER(LEFT($A145,FIND("|",$A145)-1)),2)),IFERROR(VALUE(LEFT(LOWER(LEFT($A145,FIND("|",$A145)-1)),1)),-1)))&gt;=0,TEXT(IFERROR(VALUE(LEFT(LOWER(LEFT($A145,FIND("|",$A145)-1)),3)),IFERROR(VALUE(LEFT(LOWER(LEFT($A145,FIND("|",$A145)-1)),2)),IFERROR(VALUE(LEFT(LOWER(LEFT($A145,FIND("|",$A145)-1)),1)),-1))),"000000")&amp;MID(LOWER(LEFT($A145,FIND("|",$A145)-1)),LEN(TEXT(IFERROR(VALUE(LEFT(LOWER(LEFT($A145,FIND("|",$A145)-1)),3)),IFERROR(VALUE(LEFT(LOWER(LEFT($A145,FIND("|",$A145)-1)),2)),IFERROR(VALUE(LEFT(LOWER(LEFT($A145,FIND("|",$A145)-1)),1)),-1))),"0"))+1,99),LOWER(LEFT($A145,FIND("|",$A145)-1)))&amp;CHAR(9)&amp;TEXT(IF(SUBSTITUTE(MID($A145,FIND("|",$A145)+1,50),"'","")="",0,IFERROR(VALUE(SUBSTITUTE(MID($A145,FIND("|",$A145)+1,50),"'","")),999999)),"000000")&amp;CHAR(9)&amp;TEXT($B145,"0000"))</f>
        <v/>
      </c>
      <c r="E145" s="4">
        <f>IF($D145="","",SUMPRODUCT(($D$5:$D$364&lt;&gt;"")*($D$5:$D$364&lt;$D145))+1)</f>
        <v/>
      </c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70">
      <c r="A146" s="4">
        <f t="array" ref="A146">IF(N(INDIRECT("'Pull Sheet'!O28"))&gt;0,INDIRECT("'Pull Sheet'!M28")&amp;"|"&amp;INDIRECT("'Pull Sheet'!N28"),"")</f>
        <v/>
      </c>
      <c r="B146" s="4">
        <f>IF(AND($A146&lt;&gt;"",COUNTIF($A$5:$A146,$A146)=1),MAX($B$4:$B145)+1,"")</f>
        <v/>
      </c>
      <c r="C146" s="4">
        <f t="array" ref="C146">IF($A146="","",N(INDIRECT("'Pull Sheet'!O28")))</f>
        <v/>
      </c>
      <c r="D146" s="4">
        <f>IF($B146="","",IF(IFERROR(VALUE(LEFT(LOWER(LEFT($A146,FIND("|",$A146)-1)),3)),IFERROR(VALUE(LEFT(LOWER(LEFT($A146,FIND("|",$A146)-1)),2)),IFERROR(VALUE(LEFT(LOWER(LEFT($A146,FIND("|",$A146)-1)),1)),-1)))&gt;=0,TEXT(IFERROR(VALUE(LEFT(LOWER(LEFT($A146,FIND("|",$A146)-1)),3)),IFERROR(VALUE(LEFT(LOWER(LEFT($A146,FIND("|",$A146)-1)),2)),IFERROR(VALUE(LEFT(LOWER(LEFT($A146,FIND("|",$A146)-1)),1)),-1))),"000000")&amp;MID(LOWER(LEFT($A146,FIND("|",$A146)-1)),LEN(TEXT(IFERROR(VALUE(LEFT(LOWER(LEFT($A146,FIND("|",$A146)-1)),3)),IFERROR(VALUE(LEFT(LOWER(LEFT($A146,FIND("|",$A146)-1)),2)),IFERROR(VALUE(LEFT(LOWER(LEFT($A146,FIND("|",$A146)-1)),1)),-1))),"0"))+1,99),LOWER(LEFT($A146,FIND("|",$A146)-1)))&amp;CHAR(9)&amp;TEXT(IF(SUBSTITUTE(MID($A146,FIND("|",$A146)+1,50),"'","")="",0,IFERROR(VALUE(SUBSTITUTE(MID($A146,FIND("|",$A146)+1,50),"'","")),999999)),"000000")&amp;CHAR(9)&amp;TEXT($B146,"0000"))</f>
        <v/>
      </c>
      <c r="E146" s="4">
        <f>IF($D146="","",SUMPRODUCT(($D$5:$D$364&lt;&gt;"")*($D$5:$D$364&lt;$D146))+1)</f>
        <v/>
      </c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70">
      <c r="A147" s="4">
        <f t="array" ref="A147">IF(N(INDIRECT("'Pull Sheet'!O29"))&gt;0,INDIRECT("'Pull Sheet'!M29")&amp;"|"&amp;INDIRECT("'Pull Sheet'!N29"),"")</f>
        <v/>
      </c>
      <c r="B147" s="4">
        <f>IF(AND($A147&lt;&gt;"",COUNTIF($A$5:$A147,$A147)=1),MAX($B$4:$B146)+1,"")</f>
        <v/>
      </c>
      <c r="C147" s="4">
        <f t="array" ref="C147">IF($A147="","",N(INDIRECT("'Pull Sheet'!O29")))</f>
        <v/>
      </c>
      <c r="D147" s="4">
        <f>IF($B147="","",IF(IFERROR(VALUE(LEFT(LOWER(LEFT($A147,FIND("|",$A147)-1)),3)),IFERROR(VALUE(LEFT(LOWER(LEFT($A147,FIND("|",$A147)-1)),2)),IFERROR(VALUE(LEFT(LOWER(LEFT($A147,FIND("|",$A147)-1)),1)),-1)))&gt;=0,TEXT(IFERROR(VALUE(LEFT(LOWER(LEFT($A147,FIND("|",$A147)-1)),3)),IFERROR(VALUE(LEFT(LOWER(LEFT($A147,FIND("|",$A147)-1)),2)),IFERROR(VALUE(LEFT(LOWER(LEFT($A147,FIND("|",$A147)-1)),1)),-1))),"000000")&amp;MID(LOWER(LEFT($A147,FIND("|",$A147)-1)),LEN(TEXT(IFERROR(VALUE(LEFT(LOWER(LEFT($A147,FIND("|",$A147)-1)),3)),IFERROR(VALUE(LEFT(LOWER(LEFT($A147,FIND("|",$A147)-1)),2)),IFERROR(VALUE(LEFT(LOWER(LEFT($A147,FIND("|",$A147)-1)),1)),-1))),"0"))+1,99),LOWER(LEFT($A147,FIND("|",$A147)-1)))&amp;CHAR(9)&amp;TEXT(IF(SUBSTITUTE(MID($A147,FIND("|",$A147)+1,50),"'","")="",0,IFERROR(VALUE(SUBSTITUTE(MID($A147,FIND("|",$A147)+1,50),"'","")),999999)),"000000")&amp;CHAR(9)&amp;TEXT($B147,"0000"))</f>
        <v/>
      </c>
      <c r="E147" s="4">
        <f>IF($D147="","",SUMPRODUCT(($D$5:$D$364&lt;&gt;"")*($D$5:$D$364&lt;$D147))+1)</f>
        <v/>
      </c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70">
      <c r="A148" s="4">
        <f t="array" ref="A148">IF(N(INDIRECT("'Pull Sheet'!O30"))&gt;0,INDIRECT("'Pull Sheet'!M30")&amp;"|"&amp;INDIRECT("'Pull Sheet'!N30"),"")</f>
        <v/>
      </c>
      <c r="B148" s="4">
        <f>IF(AND($A148&lt;&gt;"",COUNTIF($A$5:$A148,$A148)=1),MAX($B$4:$B147)+1,"")</f>
        <v/>
      </c>
      <c r="C148" s="4">
        <f t="array" ref="C148">IF($A148="","",N(INDIRECT("'Pull Sheet'!O30")))</f>
        <v/>
      </c>
      <c r="D148" s="4">
        <f>IF($B148="","",IF(IFERROR(VALUE(LEFT(LOWER(LEFT($A148,FIND("|",$A148)-1)),3)),IFERROR(VALUE(LEFT(LOWER(LEFT($A148,FIND("|",$A148)-1)),2)),IFERROR(VALUE(LEFT(LOWER(LEFT($A148,FIND("|",$A148)-1)),1)),-1)))&gt;=0,TEXT(IFERROR(VALUE(LEFT(LOWER(LEFT($A148,FIND("|",$A148)-1)),3)),IFERROR(VALUE(LEFT(LOWER(LEFT($A148,FIND("|",$A148)-1)),2)),IFERROR(VALUE(LEFT(LOWER(LEFT($A148,FIND("|",$A148)-1)),1)),-1))),"000000")&amp;MID(LOWER(LEFT($A148,FIND("|",$A148)-1)),LEN(TEXT(IFERROR(VALUE(LEFT(LOWER(LEFT($A148,FIND("|",$A148)-1)),3)),IFERROR(VALUE(LEFT(LOWER(LEFT($A148,FIND("|",$A148)-1)),2)),IFERROR(VALUE(LEFT(LOWER(LEFT($A148,FIND("|",$A148)-1)),1)),-1))),"0"))+1,99),LOWER(LEFT($A148,FIND("|",$A148)-1)))&amp;CHAR(9)&amp;TEXT(IF(SUBSTITUTE(MID($A148,FIND("|",$A148)+1,50),"'","")="",0,IFERROR(VALUE(SUBSTITUTE(MID($A148,FIND("|",$A148)+1,50),"'","")),999999)),"000000")&amp;CHAR(9)&amp;TEXT($B148,"0000"))</f>
        <v/>
      </c>
      <c r="E148" s="4">
        <f>IF($D148="","",SUMPRODUCT(($D$5:$D$364&lt;&gt;"")*($D$5:$D$364&lt;$D148))+1)</f>
        <v/>
      </c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70">
      <c r="A149" s="4">
        <f t="array" ref="A149">IF(N(INDIRECT("'Pull Sheet'!O31"))&gt;0,INDIRECT("'Pull Sheet'!M31")&amp;"|"&amp;INDIRECT("'Pull Sheet'!N31"),"")</f>
        <v/>
      </c>
      <c r="B149" s="4">
        <f>IF(AND($A149&lt;&gt;"",COUNTIF($A$5:$A149,$A149)=1),MAX($B$4:$B148)+1,"")</f>
        <v/>
      </c>
      <c r="C149" s="4">
        <f t="array" ref="C149">IF($A149="","",N(INDIRECT("'Pull Sheet'!O31")))</f>
        <v/>
      </c>
      <c r="D149" s="4">
        <f>IF($B149="","",IF(IFERROR(VALUE(LEFT(LOWER(LEFT($A149,FIND("|",$A149)-1)),3)),IFERROR(VALUE(LEFT(LOWER(LEFT($A149,FIND("|",$A149)-1)),2)),IFERROR(VALUE(LEFT(LOWER(LEFT($A149,FIND("|",$A149)-1)),1)),-1)))&gt;=0,TEXT(IFERROR(VALUE(LEFT(LOWER(LEFT($A149,FIND("|",$A149)-1)),3)),IFERROR(VALUE(LEFT(LOWER(LEFT($A149,FIND("|",$A149)-1)),2)),IFERROR(VALUE(LEFT(LOWER(LEFT($A149,FIND("|",$A149)-1)),1)),-1))),"000000")&amp;MID(LOWER(LEFT($A149,FIND("|",$A149)-1)),LEN(TEXT(IFERROR(VALUE(LEFT(LOWER(LEFT($A149,FIND("|",$A149)-1)),3)),IFERROR(VALUE(LEFT(LOWER(LEFT($A149,FIND("|",$A149)-1)),2)),IFERROR(VALUE(LEFT(LOWER(LEFT($A149,FIND("|",$A149)-1)),1)),-1))),"0"))+1,99),LOWER(LEFT($A149,FIND("|",$A149)-1)))&amp;CHAR(9)&amp;TEXT(IF(SUBSTITUTE(MID($A149,FIND("|",$A149)+1,50),"'","")="",0,IFERROR(VALUE(SUBSTITUTE(MID($A149,FIND("|",$A149)+1,50),"'","")),999999)),"000000")&amp;CHAR(9)&amp;TEXT($B149,"0000"))</f>
        <v/>
      </c>
      <c r="E149" s="4">
        <f>IF($D149="","",SUMPRODUCT(($D$5:$D$364&lt;&gt;"")*($D$5:$D$364&lt;$D149))+1)</f>
        <v/>
      </c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70">
      <c r="A150" s="4">
        <f t="array" ref="A150">IF(N(INDIRECT("'Pull Sheet'!O32"))&gt;0,INDIRECT("'Pull Sheet'!M32")&amp;"|"&amp;INDIRECT("'Pull Sheet'!N32"),"")</f>
        <v/>
      </c>
      <c r="B150" s="4">
        <f>IF(AND($A150&lt;&gt;"",COUNTIF($A$5:$A150,$A150)=1),MAX($B$4:$B149)+1,"")</f>
        <v/>
      </c>
      <c r="C150" s="4">
        <f t="array" ref="C150">IF($A150="","",N(INDIRECT("'Pull Sheet'!O32")))</f>
        <v/>
      </c>
      <c r="D150" s="4">
        <f>IF($B150="","",IF(IFERROR(VALUE(LEFT(LOWER(LEFT($A150,FIND("|",$A150)-1)),3)),IFERROR(VALUE(LEFT(LOWER(LEFT($A150,FIND("|",$A150)-1)),2)),IFERROR(VALUE(LEFT(LOWER(LEFT($A150,FIND("|",$A150)-1)),1)),-1)))&gt;=0,TEXT(IFERROR(VALUE(LEFT(LOWER(LEFT($A150,FIND("|",$A150)-1)),3)),IFERROR(VALUE(LEFT(LOWER(LEFT($A150,FIND("|",$A150)-1)),2)),IFERROR(VALUE(LEFT(LOWER(LEFT($A150,FIND("|",$A150)-1)),1)),-1))),"000000")&amp;MID(LOWER(LEFT($A150,FIND("|",$A150)-1)),LEN(TEXT(IFERROR(VALUE(LEFT(LOWER(LEFT($A150,FIND("|",$A150)-1)),3)),IFERROR(VALUE(LEFT(LOWER(LEFT($A150,FIND("|",$A150)-1)),2)),IFERROR(VALUE(LEFT(LOWER(LEFT($A150,FIND("|",$A150)-1)),1)),-1))),"0"))+1,99),LOWER(LEFT($A150,FIND("|",$A150)-1)))&amp;CHAR(9)&amp;TEXT(IF(SUBSTITUTE(MID($A150,FIND("|",$A150)+1,50),"'","")="",0,IFERROR(VALUE(SUBSTITUTE(MID($A150,FIND("|",$A150)+1,50),"'","")),999999)),"000000")&amp;CHAR(9)&amp;TEXT($B150,"0000"))</f>
        <v/>
      </c>
      <c r="E150" s="4">
        <f>IF($D150="","",SUMPRODUCT(($D$5:$D$364&lt;&gt;"")*($D$5:$D$364&lt;$D150))+1)</f>
        <v/>
      </c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70">
      <c r="A151" s="4">
        <f t="array" ref="A151">IF(N(INDIRECT("'Pull Sheet'!O33"))&gt;0,INDIRECT("'Pull Sheet'!M33")&amp;"|"&amp;INDIRECT("'Pull Sheet'!N33"),"")</f>
        <v/>
      </c>
      <c r="B151" s="4">
        <f>IF(AND($A151&lt;&gt;"",COUNTIF($A$5:$A151,$A151)=1),MAX($B$4:$B150)+1,"")</f>
        <v/>
      </c>
      <c r="C151" s="4">
        <f t="array" ref="C151">IF($A151="","",N(INDIRECT("'Pull Sheet'!O33")))</f>
        <v/>
      </c>
      <c r="D151" s="4">
        <f>IF($B151="","",IF(IFERROR(VALUE(LEFT(LOWER(LEFT($A151,FIND("|",$A151)-1)),3)),IFERROR(VALUE(LEFT(LOWER(LEFT($A151,FIND("|",$A151)-1)),2)),IFERROR(VALUE(LEFT(LOWER(LEFT($A151,FIND("|",$A151)-1)),1)),-1)))&gt;=0,TEXT(IFERROR(VALUE(LEFT(LOWER(LEFT($A151,FIND("|",$A151)-1)),3)),IFERROR(VALUE(LEFT(LOWER(LEFT($A151,FIND("|",$A151)-1)),2)),IFERROR(VALUE(LEFT(LOWER(LEFT($A151,FIND("|",$A151)-1)),1)),-1))),"000000")&amp;MID(LOWER(LEFT($A151,FIND("|",$A151)-1)),LEN(TEXT(IFERROR(VALUE(LEFT(LOWER(LEFT($A151,FIND("|",$A151)-1)),3)),IFERROR(VALUE(LEFT(LOWER(LEFT($A151,FIND("|",$A151)-1)),2)),IFERROR(VALUE(LEFT(LOWER(LEFT($A151,FIND("|",$A151)-1)),1)),-1))),"0"))+1,99),LOWER(LEFT($A151,FIND("|",$A151)-1)))&amp;CHAR(9)&amp;TEXT(IF(SUBSTITUTE(MID($A151,FIND("|",$A151)+1,50),"'","")="",0,IFERROR(VALUE(SUBSTITUTE(MID($A151,FIND("|",$A151)+1,50),"'","")),999999)),"000000")&amp;CHAR(9)&amp;TEXT($B151,"0000"))</f>
        <v/>
      </c>
      <c r="E151" s="4">
        <f>IF($D151="","",SUMPRODUCT(($D$5:$D$364&lt;&gt;"")*($D$5:$D$364&lt;$D151))+1)</f>
        <v/>
      </c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70">
      <c r="A152" s="4">
        <f t="array" ref="A152">IF(N(INDIRECT("'Pull Sheet'!O34"))&gt;0,INDIRECT("'Pull Sheet'!M34")&amp;"|"&amp;INDIRECT("'Pull Sheet'!N34"),"")</f>
        <v/>
      </c>
      <c r="B152" s="4">
        <f>IF(AND($A152&lt;&gt;"",COUNTIF($A$5:$A152,$A152)=1),MAX($B$4:$B151)+1,"")</f>
        <v/>
      </c>
      <c r="C152" s="4">
        <f t="array" ref="C152">IF($A152="","",N(INDIRECT("'Pull Sheet'!O34")))</f>
        <v/>
      </c>
      <c r="D152" s="4">
        <f>IF($B152="","",IF(IFERROR(VALUE(LEFT(LOWER(LEFT($A152,FIND("|",$A152)-1)),3)),IFERROR(VALUE(LEFT(LOWER(LEFT($A152,FIND("|",$A152)-1)),2)),IFERROR(VALUE(LEFT(LOWER(LEFT($A152,FIND("|",$A152)-1)),1)),-1)))&gt;=0,TEXT(IFERROR(VALUE(LEFT(LOWER(LEFT($A152,FIND("|",$A152)-1)),3)),IFERROR(VALUE(LEFT(LOWER(LEFT($A152,FIND("|",$A152)-1)),2)),IFERROR(VALUE(LEFT(LOWER(LEFT($A152,FIND("|",$A152)-1)),1)),-1))),"000000")&amp;MID(LOWER(LEFT($A152,FIND("|",$A152)-1)),LEN(TEXT(IFERROR(VALUE(LEFT(LOWER(LEFT($A152,FIND("|",$A152)-1)),3)),IFERROR(VALUE(LEFT(LOWER(LEFT($A152,FIND("|",$A152)-1)),2)),IFERROR(VALUE(LEFT(LOWER(LEFT($A152,FIND("|",$A152)-1)),1)),-1))),"0"))+1,99),LOWER(LEFT($A152,FIND("|",$A152)-1)))&amp;CHAR(9)&amp;TEXT(IF(SUBSTITUTE(MID($A152,FIND("|",$A152)+1,50),"'","")="",0,IFERROR(VALUE(SUBSTITUTE(MID($A152,FIND("|",$A152)+1,50),"'","")),999999)),"000000")&amp;CHAR(9)&amp;TEXT($B152,"0000"))</f>
        <v/>
      </c>
      <c r="E152" s="4">
        <f>IF($D152="","",SUMPRODUCT(($D$5:$D$364&lt;&gt;"")*($D$5:$D$364&lt;$D152))+1)</f>
        <v/>
      </c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70">
      <c r="A153" s="4">
        <f t="array" ref="A153">IF(N(INDIRECT("'Pull Sheet'!O35"))&gt;0,INDIRECT("'Pull Sheet'!M35")&amp;"|"&amp;INDIRECT("'Pull Sheet'!N35"),"")</f>
        <v/>
      </c>
      <c r="B153" s="4">
        <f>IF(AND($A153&lt;&gt;"",COUNTIF($A$5:$A153,$A153)=1),MAX($B$4:$B152)+1,"")</f>
        <v/>
      </c>
      <c r="C153" s="4">
        <f t="array" ref="C153">IF($A153="","",N(INDIRECT("'Pull Sheet'!O35")))</f>
        <v/>
      </c>
      <c r="D153" s="4">
        <f>IF($B153="","",IF(IFERROR(VALUE(LEFT(LOWER(LEFT($A153,FIND("|",$A153)-1)),3)),IFERROR(VALUE(LEFT(LOWER(LEFT($A153,FIND("|",$A153)-1)),2)),IFERROR(VALUE(LEFT(LOWER(LEFT($A153,FIND("|",$A153)-1)),1)),-1)))&gt;=0,TEXT(IFERROR(VALUE(LEFT(LOWER(LEFT($A153,FIND("|",$A153)-1)),3)),IFERROR(VALUE(LEFT(LOWER(LEFT($A153,FIND("|",$A153)-1)),2)),IFERROR(VALUE(LEFT(LOWER(LEFT($A153,FIND("|",$A153)-1)),1)),-1))),"000000")&amp;MID(LOWER(LEFT($A153,FIND("|",$A153)-1)),LEN(TEXT(IFERROR(VALUE(LEFT(LOWER(LEFT($A153,FIND("|",$A153)-1)),3)),IFERROR(VALUE(LEFT(LOWER(LEFT($A153,FIND("|",$A153)-1)),2)),IFERROR(VALUE(LEFT(LOWER(LEFT($A153,FIND("|",$A153)-1)),1)),-1))),"0"))+1,99),LOWER(LEFT($A153,FIND("|",$A153)-1)))&amp;CHAR(9)&amp;TEXT(IF(SUBSTITUTE(MID($A153,FIND("|",$A153)+1,50),"'","")="",0,IFERROR(VALUE(SUBSTITUTE(MID($A153,FIND("|",$A153)+1,50),"'","")),999999)),"000000")&amp;CHAR(9)&amp;TEXT($B153,"0000"))</f>
        <v/>
      </c>
      <c r="E153" s="4">
        <f>IF($D153="","",SUMPRODUCT(($D$5:$D$364&lt;&gt;"")*($D$5:$D$364&lt;$D153))+1)</f>
        <v/>
      </c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70">
      <c r="A154" s="4">
        <f t="array" ref="A154">IF(N(INDIRECT("'Pull Sheet'!O36"))&gt;0,INDIRECT("'Pull Sheet'!M36")&amp;"|"&amp;INDIRECT("'Pull Sheet'!N36"),"")</f>
        <v/>
      </c>
      <c r="B154" s="4">
        <f>IF(AND($A154&lt;&gt;"",COUNTIF($A$5:$A154,$A154)=1),MAX($B$4:$B153)+1,"")</f>
        <v/>
      </c>
      <c r="C154" s="4">
        <f t="array" ref="C154">IF($A154="","",N(INDIRECT("'Pull Sheet'!O36")))</f>
        <v/>
      </c>
      <c r="D154" s="4">
        <f>IF($B154="","",IF(IFERROR(VALUE(LEFT(LOWER(LEFT($A154,FIND("|",$A154)-1)),3)),IFERROR(VALUE(LEFT(LOWER(LEFT($A154,FIND("|",$A154)-1)),2)),IFERROR(VALUE(LEFT(LOWER(LEFT($A154,FIND("|",$A154)-1)),1)),-1)))&gt;=0,TEXT(IFERROR(VALUE(LEFT(LOWER(LEFT($A154,FIND("|",$A154)-1)),3)),IFERROR(VALUE(LEFT(LOWER(LEFT($A154,FIND("|",$A154)-1)),2)),IFERROR(VALUE(LEFT(LOWER(LEFT($A154,FIND("|",$A154)-1)),1)),-1))),"000000")&amp;MID(LOWER(LEFT($A154,FIND("|",$A154)-1)),LEN(TEXT(IFERROR(VALUE(LEFT(LOWER(LEFT($A154,FIND("|",$A154)-1)),3)),IFERROR(VALUE(LEFT(LOWER(LEFT($A154,FIND("|",$A154)-1)),2)),IFERROR(VALUE(LEFT(LOWER(LEFT($A154,FIND("|",$A154)-1)),1)),-1))),"0"))+1,99),LOWER(LEFT($A154,FIND("|",$A154)-1)))&amp;CHAR(9)&amp;TEXT(IF(SUBSTITUTE(MID($A154,FIND("|",$A154)+1,50),"'","")="",0,IFERROR(VALUE(SUBSTITUTE(MID($A154,FIND("|",$A154)+1,50),"'","")),999999)),"000000")&amp;CHAR(9)&amp;TEXT($B154,"0000"))</f>
        <v/>
      </c>
      <c r="E154" s="4">
        <f>IF($D154="","",SUMPRODUCT(($D$5:$D$364&lt;&gt;"")*($D$5:$D$364&lt;$D154))+1)</f>
        <v/>
      </c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70">
      <c r="A155" s="4">
        <f t="array" ref="A155">IF(N(INDIRECT("'Pull Sheet'!O37"))&gt;0,INDIRECT("'Pull Sheet'!M37")&amp;"|"&amp;INDIRECT("'Pull Sheet'!N37"),"")</f>
        <v/>
      </c>
      <c r="B155" s="4">
        <f>IF(AND($A155&lt;&gt;"",COUNTIF($A$5:$A155,$A155)=1),MAX($B$4:$B154)+1,"")</f>
        <v/>
      </c>
      <c r="C155" s="4">
        <f t="array" ref="C155">IF($A155="","",N(INDIRECT("'Pull Sheet'!O37")))</f>
        <v/>
      </c>
      <c r="D155" s="4">
        <f>IF($B155="","",IF(IFERROR(VALUE(LEFT(LOWER(LEFT($A155,FIND("|",$A155)-1)),3)),IFERROR(VALUE(LEFT(LOWER(LEFT($A155,FIND("|",$A155)-1)),2)),IFERROR(VALUE(LEFT(LOWER(LEFT($A155,FIND("|",$A155)-1)),1)),-1)))&gt;=0,TEXT(IFERROR(VALUE(LEFT(LOWER(LEFT($A155,FIND("|",$A155)-1)),3)),IFERROR(VALUE(LEFT(LOWER(LEFT($A155,FIND("|",$A155)-1)),2)),IFERROR(VALUE(LEFT(LOWER(LEFT($A155,FIND("|",$A155)-1)),1)),-1))),"000000")&amp;MID(LOWER(LEFT($A155,FIND("|",$A155)-1)),LEN(TEXT(IFERROR(VALUE(LEFT(LOWER(LEFT($A155,FIND("|",$A155)-1)),3)),IFERROR(VALUE(LEFT(LOWER(LEFT($A155,FIND("|",$A155)-1)),2)),IFERROR(VALUE(LEFT(LOWER(LEFT($A155,FIND("|",$A155)-1)),1)),-1))),"0"))+1,99),LOWER(LEFT($A155,FIND("|",$A155)-1)))&amp;CHAR(9)&amp;TEXT(IF(SUBSTITUTE(MID($A155,FIND("|",$A155)+1,50),"'","")="",0,IFERROR(VALUE(SUBSTITUTE(MID($A155,FIND("|",$A155)+1,50),"'","")),999999)),"000000")&amp;CHAR(9)&amp;TEXT($B155,"0000"))</f>
        <v/>
      </c>
      <c r="E155" s="4">
        <f>IF($D155="","",SUMPRODUCT(($D$5:$D$364&lt;&gt;"")*($D$5:$D$364&lt;$D155))+1)</f>
        <v/>
      </c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70">
      <c r="A156" s="4">
        <f t="array" ref="A156">IF(N(INDIRECT("'Pull Sheet'!O38"))&gt;0,INDIRECT("'Pull Sheet'!M38")&amp;"|"&amp;INDIRECT("'Pull Sheet'!N38"),"")</f>
        <v/>
      </c>
      <c r="B156" s="4">
        <f>IF(AND($A156&lt;&gt;"",COUNTIF($A$5:$A156,$A156)=1),MAX($B$4:$B155)+1,"")</f>
        <v/>
      </c>
      <c r="C156" s="4">
        <f t="array" ref="C156">IF($A156="","",N(INDIRECT("'Pull Sheet'!O38")))</f>
        <v/>
      </c>
      <c r="D156" s="4">
        <f>IF($B156="","",IF(IFERROR(VALUE(LEFT(LOWER(LEFT($A156,FIND("|",$A156)-1)),3)),IFERROR(VALUE(LEFT(LOWER(LEFT($A156,FIND("|",$A156)-1)),2)),IFERROR(VALUE(LEFT(LOWER(LEFT($A156,FIND("|",$A156)-1)),1)),-1)))&gt;=0,TEXT(IFERROR(VALUE(LEFT(LOWER(LEFT($A156,FIND("|",$A156)-1)),3)),IFERROR(VALUE(LEFT(LOWER(LEFT($A156,FIND("|",$A156)-1)),2)),IFERROR(VALUE(LEFT(LOWER(LEFT($A156,FIND("|",$A156)-1)),1)),-1))),"000000")&amp;MID(LOWER(LEFT($A156,FIND("|",$A156)-1)),LEN(TEXT(IFERROR(VALUE(LEFT(LOWER(LEFT($A156,FIND("|",$A156)-1)),3)),IFERROR(VALUE(LEFT(LOWER(LEFT($A156,FIND("|",$A156)-1)),2)),IFERROR(VALUE(LEFT(LOWER(LEFT($A156,FIND("|",$A156)-1)),1)),-1))),"0"))+1,99),LOWER(LEFT($A156,FIND("|",$A156)-1)))&amp;CHAR(9)&amp;TEXT(IF(SUBSTITUTE(MID($A156,FIND("|",$A156)+1,50),"'","")="",0,IFERROR(VALUE(SUBSTITUTE(MID($A156,FIND("|",$A156)+1,50),"'","")),999999)),"000000")&amp;CHAR(9)&amp;TEXT($B156,"0000"))</f>
        <v/>
      </c>
      <c r="E156" s="4">
        <f>IF($D156="","",SUMPRODUCT(($D$5:$D$364&lt;&gt;"")*($D$5:$D$364&lt;$D156))+1)</f>
        <v/>
      </c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70">
      <c r="A157" s="4">
        <f t="array" ref="A157">IF(N(INDIRECT("'Pull Sheet'!O39"))&gt;0,INDIRECT("'Pull Sheet'!M39")&amp;"|"&amp;INDIRECT("'Pull Sheet'!N39"),"")</f>
        <v/>
      </c>
      <c r="B157" s="4">
        <f>IF(AND($A157&lt;&gt;"",COUNTIF($A$5:$A157,$A157)=1),MAX($B$4:$B156)+1,"")</f>
        <v/>
      </c>
      <c r="C157" s="4">
        <f t="array" ref="C157">IF($A157="","",N(INDIRECT("'Pull Sheet'!O39")))</f>
        <v/>
      </c>
      <c r="D157" s="4">
        <f>IF($B157="","",IF(IFERROR(VALUE(LEFT(LOWER(LEFT($A157,FIND("|",$A157)-1)),3)),IFERROR(VALUE(LEFT(LOWER(LEFT($A157,FIND("|",$A157)-1)),2)),IFERROR(VALUE(LEFT(LOWER(LEFT($A157,FIND("|",$A157)-1)),1)),-1)))&gt;=0,TEXT(IFERROR(VALUE(LEFT(LOWER(LEFT($A157,FIND("|",$A157)-1)),3)),IFERROR(VALUE(LEFT(LOWER(LEFT($A157,FIND("|",$A157)-1)),2)),IFERROR(VALUE(LEFT(LOWER(LEFT($A157,FIND("|",$A157)-1)),1)),-1))),"000000")&amp;MID(LOWER(LEFT($A157,FIND("|",$A157)-1)),LEN(TEXT(IFERROR(VALUE(LEFT(LOWER(LEFT($A157,FIND("|",$A157)-1)),3)),IFERROR(VALUE(LEFT(LOWER(LEFT($A157,FIND("|",$A157)-1)),2)),IFERROR(VALUE(LEFT(LOWER(LEFT($A157,FIND("|",$A157)-1)),1)),-1))),"0"))+1,99),LOWER(LEFT($A157,FIND("|",$A157)-1)))&amp;CHAR(9)&amp;TEXT(IF(SUBSTITUTE(MID($A157,FIND("|",$A157)+1,50),"'","")="",0,IFERROR(VALUE(SUBSTITUTE(MID($A157,FIND("|",$A157)+1,50),"'","")),999999)),"000000")&amp;CHAR(9)&amp;TEXT($B157,"0000"))</f>
        <v/>
      </c>
      <c r="E157" s="4">
        <f>IF($D157="","",SUMPRODUCT(($D$5:$D$364&lt;&gt;"")*($D$5:$D$364&lt;$D157))+1)</f>
        <v/>
      </c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70">
      <c r="A158" s="4">
        <f t="array" ref="A158">IF(N(INDIRECT("'Pull Sheet'!O40"))&gt;0,INDIRECT("'Pull Sheet'!M40")&amp;"|"&amp;INDIRECT("'Pull Sheet'!N40"),"")</f>
        <v/>
      </c>
      <c r="B158" s="4">
        <f>IF(AND($A158&lt;&gt;"",COUNTIF($A$5:$A158,$A158)=1),MAX($B$4:$B157)+1,"")</f>
        <v/>
      </c>
      <c r="C158" s="4">
        <f t="array" ref="C158">IF($A158="","",N(INDIRECT("'Pull Sheet'!O40")))</f>
        <v/>
      </c>
      <c r="D158" s="4">
        <f>IF($B158="","",IF(IFERROR(VALUE(LEFT(LOWER(LEFT($A158,FIND("|",$A158)-1)),3)),IFERROR(VALUE(LEFT(LOWER(LEFT($A158,FIND("|",$A158)-1)),2)),IFERROR(VALUE(LEFT(LOWER(LEFT($A158,FIND("|",$A158)-1)),1)),-1)))&gt;=0,TEXT(IFERROR(VALUE(LEFT(LOWER(LEFT($A158,FIND("|",$A158)-1)),3)),IFERROR(VALUE(LEFT(LOWER(LEFT($A158,FIND("|",$A158)-1)),2)),IFERROR(VALUE(LEFT(LOWER(LEFT($A158,FIND("|",$A158)-1)),1)),-1))),"000000")&amp;MID(LOWER(LEFT($A158,FIND("|",$A158)-1)),LEN(TEXT(IFERROR(VALUE(LEFT(LOWER(LEFT($A158,FIND("|",$A158)-1)),3)),IFERROR(VALUE(LEFT(LOWER(LEFT($A158,FIND("|",$A158)-1)),2)),IFERROR(VALUE(LEFT(LOWER(LEFT($A158,FIND("|",$A158)-1)),1)),-1))),"0"))+1,99),LOWER(LEFT($A158,FIND("|",$A158)-1)))&amp;CHAR(9)&amp;TEXT(IF(SUBSTITUTE(MID($A158,FIND("|",$A158)+1,50),"'","")="",0,IFERROR(VALUE(SUBSTITUTE(MID($A158,FIND("|",$A158)+1,50),"'","")),999999)),"000000")&amp;CHAR(9)&amp;TEXT($B158,"0000"))</f>
        <v/>
      </c>
      <c r="E158" s="4">
        <f>IF($D158="","",SUMPRODUCT(($D$5:$D$364&lt;&gt;"")*($D$5:$D$364&lt;$D158))+1)</f>
        <v/>
      </c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70">
      <c r="A159" s="4">
        <f t="array" ref="A159">IF(N(INDIRECT("'Pull Sheet'!O41"))&gt;0,INDIRECT("'Pull Sheet'!M41")&amp;"|"&amp;INDIRECT("'Pull Sheet'!N41"),"")</f>
        <v/>
      </c>
      <c r="B159" s="4">
        <f>IF(AND($A159&lt;&gt;"",COUNTIF($A$5:$A159,$A159)=1),MAX($B$4:$B158)+1,"")</f>
        <v/>
      </c>
      <c r="C159" s="4">
        <f t="array" ref="C159">IF($A159="","",N(INDIRECT("'Pull Sheet'!O41")))</f>
        <v/>
      </c>
      <c r="D159" s="4">
        <f>IF($B159="","",IF(IFERROR(VALUE(LEFT(LOWER(LEFT($A159,FIND("|",$A159)-1)),3)),IFERROR(VALUE(LEFT(LOWER(LEFT($A159,FIND("|",$A159)-1)),2)),IFERROR(VALUE(LEFT(LOWER(LEFT($A159,FIND("|",$A159)-1)),1)),-1)))&gt;=0,TEXT(IFERROR(VALUE(LEFT(LOWER(LEFT($A159,FIND("|",$A159)-1)),3)),IFERROR(VALUE(LEFT(LOWER(LEFT($A159,FIND("|",$A159)-1)),2)),IFERROR(VALUE(LEFT(LOWER(LEFT($A159,FIND("|",$A159)-1)),1)),-1))),"000000")&amp;MID(LOWER(LEFT($A159,FIND("|",$A159)-1)),LEN(TEXT(IFERROR(VALUE(LEFT(LOWER(LEFT($A159,FIND("|",$A159)-1)),3)),IFERROR(VALUE(LEFT(LOWER(LEFT($A159,FIND("|",$A159)-1)),2)),IFERROR(VALUE(LEFT(LOWER(LEFT($A159,FIND("|",$A159)-1)),1)),-1))),"0"))+1,99),LOWER(LEFT($A159,FIND("|",$A159)-1)))&amp;CHAR(9)&amp;TEXT(IF(SUBSTITUTE(MID($A159,FIND("|",$A159)+1,50),"'","")="",0,IFERROR(VALUE(SUBSTITUTE(MID($A159,FIND("|",$A159)+1,50),"'","")),999999)),"000000")&amp;CHAR(9)&amp;TEXT($B159,"0000"))</f>
        <v/>
      </c>
      <c r="E159" s="4">
        <f>IF($D159="","",SUMPRODUCT(($D$5:$D$364&lt;&gt;"")*($D$5:$D$364&lt;$D159))+1)</f>
        <v/>
      </c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70">
      <c r="A160" s="4">
        <f t="array" ref="A160">IF(N(INDIRECT("'Pull Sheet'!O42"))&gt;0,INDIRECT("'Pull Sheet'!M42")&amp;"|"&amp;INDIRECT("'Pull Sheet'!N42"),"")</f>
        <v/>
      </c>
      <c r="B160" s="4">
        <f>IF(AND($A160&lt;&gt;"",COUNTIF($A$5:$A160,$A160)=1),MAX($B$4:$B159)+1,"")</f>
        <v/>
      </c>
      <c r="C160" s="4">
        <f t="array" ref="C160">IF($A160="","",N(INDIRECT("'Pull Sheet'!O42")))</f>
        <v/>
      </c>
      <c r="D160" s="4">
        <f>IF($B160="","",IF(IFERROR(VALUE(LEFT(LOWER(LEFT($A160,FIND("|",$A160)-1)),3)),IFERROR(VALUE(LEFT(LOWER(LEFT($A160,FIND("|",$A160)-1)),2)),IFERROR(VALUE(LEFT(LOWER(LEFT($A160,FIND("|",$A160)-1)),1)),-1)))&gt;=0,TEXT(IFERROR(VALUE(LEFT(LOWER(LEFT($A160,FIND("|",$A160)-1)),3)),IFERROR(VALUE(LEFT(LOWER(LEFT($A160,FIND("|",$A160)-1)),2)),IFERROR(VALUE(LEFT(LOWER(LEFT($A160,FIND("|",$A160)-1)),1)),-1))),"000000")&amp;MID(LOWER(LEFT($A160,FIND("|",$A160)-1)),LEN(TEXT(IFERROR(VALUE(LEFT(LOWER(LEFT($A160,FIND("|",$A160)-1)),3)),IFERROR(VALUE(LEFT(LOWER(LEFT($A160,FIND("|",$A160)-1)),2)),IFERROR(VALUE(LEFT(LOWER(LEFT($A160,FIND("|",$A160)-1)),1)),-1))),"0"))+1,99),LOWER(LEFT($A160,FIND("|",$A160)-1)))&amp;CHAR(9)&amp;TEXT(IF(SUBSTITUTE(MID($A160,FIND("|",$A160)+1,50),"'","")="",0,IFERROR(VALUE(SUBSTITUTE(MID($A160,FIND("|",$A160)+1,50),"'","")),999999)),"000000")&amp;CHAR(9)&amp;TEXT($B160,"0000"))</f>
        <v/>
      </c>
      <c r="E160" s="4">
        <f>IF($D160="","",SUMPRODUCT(($D$5:$D$364&lt;&gt;"")*($D$5:$D$364&lt;$D160))+1)</f>
        <v/>
      </c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70">
      <c r="A161" s="4">
        <f t="array" ref="A161">IF(N(INDIRECT("'Pull Sheet'!O43"))&gt;0,INDIRECT("'Pull Sheet'!M43")&amp;"|"&amp;INDIRECT("'Pull Sheet'!N43"),"")</f>
        <v/>
      </c>
      <c r="B161" s="4">
        <f>IF(AND($A161&lt;&gt;"",COUNTIF($A$5:$A161,$A161)=1),MAX($B$4:$B160)+1,"")</f>
        <v/>
      </c>
      <c r="C161" s="4">
        <f t="array" ref="C161">IF($A161="","",N(INDIRECT("'Pull Sheet'!O43")))</f>
        <v/>
      </c>
      <c r="D161" s="4">
        <f>IF($B161="","",IF(IFERROR(VALUE(LEFT(LOWER(LEFT($A161,FIND("|",$A161)-1)),3)),IFERROR(VALUE(LEFT(LOWER(LEFT($A161,FIND("|",$A161)-1)),2)),IFERROR(VALUE(LEFT(LOWER(LEFT($A161,FIND("|",$A161)-1)),1)),-1)))&gt;=0,TEXT(IFERROR(VALUE(LEFT(LOWER(LEFT($A161,FIND("|",$A161)-1)),3)),IFERROR(VALUE(LEFT(LOWER(LEFT($A161,FIND("|",$A161)-1)),2)),IFERROR(VALUE(LEFT(LOWER(LEFT($A161,FIND("|",$A161)-1)),1)),-1))),"000000")&amp;MID(LOWER(LEFT($A161,FIND("|",$A161)-1)),LEN(TEXT(IFERROR(VALUE(LEFT(LOWER(LEFT($A161,FIND("|",$A161)-1)),3)),IFERROR(VALUE(LEFT(LOWER(LEFT($A161,FIND("|",$A161)-1)),2)),IFERROR(VALUE(LEFT(LOWER(LEFT($A161,FIND("|",$A161)-1)),1)),-1))),"0"))+1,99),LOWER(LEFT($A161,FIND("|",$A161)-1)))&amp;CHAR(9)&amp;TEXT(IF(SUBSTITUTE(MID($A161,FIND("|",$A161)+1,50),"'","")="",0,IFERROR(VALUE(SUBSTITUTE(MID($A161,FIND("|",$A161)+1,50),"'","")),999999)),"000000")&amp;CHAR(9)&amp;TEXT($B161,"0000"))</f>
        <v/>
      </c>
      <c r="E161" s="4">
        <f>IF($D161="","",SUMPRODUCT(($D$5:$D$364&lt;&gt;"")*($D$5:$D$364&lt;$D161))+1)</f>
        <v/>
      </c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70">
      <c r="A162" s="4">
        <f t="array" ref="A162">IF(N(INDIRECT("'Pull Sheet'!O44"))&gt;0,INDIRECT("'Pull Sheet'!M44")&amp;"|"&amp;INDIRECT("'Pull Sheet'!N44"),"")</f>
        <v/>
      </c>
      <c r="B162" s="4">
        <f>IF(AND($A162&lt;&gt;"",COUNTIF($A$5:$A162,$A162)=1),MAX($B$4:$B161)+1,"")</f>
        <v/>
      </c>
      <c r="C162" s="4">
        <f t="array" ref="C162">IF($A162="","",N(INDIRECT("'Pull Sheet'!O44")))</f>
        <v/>
      </c>
      <c r="D162" s="4">
        <f>IF($B162="","",IF(IFERROR(VALUE(LEFT(LOWER(LEFT($A162,FIND("|",$A162)-1)),3)),IFERROR(VALUE(LEFT(LOWER(LEFT($A162,FIND("|",$A162)-1)),2)),IFERROR(VALUE(LEFT(LOWER(LEFT($A162,FIND("|",$A162)-1)),1)),-1)))&gt;=0,TEXT(IFERROR(VALUE(LEFT(LOWER(LEFT($A162,FIND("|",$A162)-1)),3)),IFERROR(VALUE(LEFT(LOWER(LEFT($A162,FIND("|",$A162)-1)),2)),IFERROR(VALUE(LEFT(LOWER(LEFT($A162,FIND("|",$A162)-1)),1)),-1))),"000000")&amp;MID(LOWER(LEFT($A162,FIND("|",$A162)-1)),LEN(TEXT(IFERROR(VALUE(LEFT(LOWER(LEFT($A162,FIND("|",$A162)-1)),3)),IFERROR(VALUE(LEFT(LOWER(LEFT($A162,FIND("|",$A162)-1)),2)),IFERROR(VALUE(LEFT(LOWER(LEFT($A162,FIND("|",$A162)-1)),1)),-1))),"0"))+1,99),LOWER(LEFT($A162,FIND("|",$A162)-1)))&amp;CHAR(9)&amp;TEXT(IF(SUBSTITUTE(MID($A162,FIND("|",$A162)+1,50),"'","")="",0,IFERROR(VALUE(SUBSTITUTE(MID($A162,FIND("|",$A162)+1,50),"'","")),999999)),"000000")&amp;CHAR(9)&amp;TEXT($B162,"0000"))</f>
        <v/>
      </c>
      <c r="E162" s="4">
        <f>IF($D162="","",SUMPRODUCT(($D$5:$D$364&lt;&gt;"")*($D$5:$D$364&lt;$D162))+1)</f>
        <v/>
      </c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70">
      <c r="A163" s="4">
        <f t="array" ref="A163">IF(N(INDIRECT("'Pull Sheet'!O45"))&gt;0,INDIRECT("'Pull Sheet'!M45")&amp;"|"&amp;INDIRECT("'Pull Sheet'!N45"),"")</f>
        <v/>
      </c>
      <c r="B163" s="4">
        <f>IF(AND($A163&lt;&gt;"",COUNTIF($A$5:$A163,$A163)=1),MAX($B$4:$B162)+1,"")</f>
        <v/>
      </c>
      <c r="C163" s="4">
        <f t="array" ref="C163">IF($A163="","",N(INDIRECT("'Pull Sheet'!O45")))</f>
        <v/>
      </c>
      <c r="D163" s="4">
        <f>IF($B163="","",IF(IFERROR(VALUE(LEFT(LOWER(LEFT($A163,FIND("|",$A163)-1)),3)),IFERROR(VALUE(LEFT(LOWER(LEFT($A163,FIND("|",$A163)-1)),2)),IFERROR(VALUE(LEFT(LOWER(LEFT($A163,FIND("|",$A163)-1)),1)),-1)))&gt;=0,TEXT(IFERROR(VALUE(LEFT(LOWER(LEFT($A163,FIND("|",$A163)-1)),3)),IFERROR(VALUE(LEFT(LOWER(LEFT($A163,FIND("|",$A163)-1)),2)),IFERROR(VALUE(LEFT(LOWER(LEFT($A163,FIND("|",$A163)-1)),1)),-1))),"000000")&amp;MID(LOWER(LEFT($A163,FIND("|",$A163)-1)),LEN(TEXT(IFERROR(VALUE(LEFT(LOWER(LEFT($A163,FIND("|",$A163)-1)),3)),IFERROR(VALUE(LEFT(LOWER(LEFT($A163,FIND("|",$A163)-1)),2)),IFERROR(VALUE(LEFT(LOWER(LEFT($A163,FIND("|",$A163)-1)),1)),-1))),"0"))+1,99),LOWER(LEFT($A163,FIND("|",$A163)-1)))&amp;CHAR(9)&amp;TEXT(IF(SUBSTITUTE(MID($A163,FIND("|",$A163)+1,50),"'","")="",0,IFERROR(VALUE(SUBSTITUTE(MID($A163,FIND("|",$A163)+1,50),"'","")),999999)),"000000")&amp;CHAR(9)&amp;TEXT($B163,"0000"))</f>
        <v/>
      </c>
      <c r="E163" s="4">
        <f>IF($D163="","",SUMPRODUCT(($D$5:$D$364&lt;&gt;"")*($D$5:$D$364&lt;$D163))+1)</f>
        <v/>
      </c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70">
      <c r="A164" s="4">
        <f t="array" ref="A164">IF(N(INDIRECT("'Pull Sheet'!O46"))&gt;0,INDIRECT("'Pull Sheet'!M46")&amp;"|"&amp;INDIRECT("'Pull Sheet'!N46"),"")</f>
        <v/>
      </c>
      <c r="B164" s="4">
        <f>IF(AND($A164&lt;&gt;"",COUNTIF($A$5:$A164,$A164)=1),MAX($B$4:$B163)+1,"")</f>
        <v/>
      </c>
      <c r="C164" s="4">
        <f t="array" ref="C164">IF($A164="","",N(INDIRECT("'Pull Sheet'!O46")))</f>
        <v/>
      </c>
      <c r="D164" s="4">
        <f>IF($B164="","",IF(IFERROR(VALUE(LEFT(LOWER(LEFT($A164,FIND("|",$A164)-1)),3)),IFERROR(VALUE(LEFT(LOWER(LEFT($A164,FIND("|",$A164)-1)),2)),IFERROR(VALUE(LEFT(LOWER(LEFT($A164,FIND("|",$A164)-1)),1)),-1)))&gt;=0,TEXT(IFERROR(VALUE(LEFT(LOWER(LEFT($A164,FIND("|",$A164)-1)),3)),IFERROR(VALUE(LEFT(LOWER(LEFT($A164,FIND("|",$A164)-1)),2)),IFERROR(VALUE(LEFT(LOWER(LEFT($A164,FIND("|",$A164)-1)),1)),-1))),"000000")&amp;MID(LOWER(LEFT($A164,FIND("|",$A164)-1)),LEN(TEXT(IFERROR(VALUE(LEFT(LOWER(LEFT($A164,FIND("|",$A164)-1)),3)),IFERROR(VALUE(LEFT(LOWER(LEFT($A164,FIND("|",$A164)-1)),2)),IFERROR(VALUE(LEFT(LOWER(LEFT($A164,FIND("|",$A164)-1)),1)),-1))),"0"))+1,99),LOWER(LEFT($A164,FIND("|",$A164)-1)))&amp;CHAR(9)&amp;TEXT(IF(SUBSTITUTE(MID($A164,FIND("|",$A164)+1,50),"'","")="",0,IFERROR(VALUE(SUBSTITUTE(MID($A164,FIND("|",$A164)+1,50),"'","")),999999)),"000000")&amp;CHAR(9)&amp;TEXT($B164,"0000"))</f>
        <v/>
      </c>
      <c r="E164" s="4">
        <f>IF($D164="","",SUMPRODUCT(($D$5:$D$364&lt;&gt;"")*($D$5:$D$364&lt;$D164))+1)</f>
        <v/>
      </c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70">
      <c r="A165" s="4">
        <f t="array" ref="A165">IF(N(INDIRECT("'Pull Sheet'!O47"))&gt;0,INDIRECT("'Pull Sheet'!M47")&amp;"|"&amp;INDIRECT("'Pull Sheet'!N47"),"")</f>
        <v/>
      </c>
      <c r="B165" s="4">
        <f>IF(AND($A165&lt;&gt;"",COUNTIF($A$5:$A165,$A165)=1),MAX($B$4:$B164)+1,"")</f>
        <v/>
      </c>
      <c r="C165" s="4">
        <f t="array" ref="C165">IF($A165="","",N(INDIRECT("'Pull Sheet'!O47")))</f>
        <v/>
      </c>
      <c r="D165" s="4">
        <f>IF($B165="","",IF(IFERROR(VALUE(LEFT(LOWER(LEFT($A165,FIND("|",$A165)-1)),3)),IFERROR(VALUE(LEFT(LOWER(LEFT($A165,FIND("|",$A165)-1)),2)),IFERROR(VALUE(LEFT(LOWER(LEFT($A165,FIND("|",$A165)-1)),1)),-1)))&gt;=0,TEXT(IFERROR(VALUE(LEFT(LOWER(LEFT($A165,FIND("|",$A165)-1)),3)),IFERROR(VALUE(LEFT(LOWER(LEFT($A165,FIND("|",$A165)-1)),2)),IFERROR(VALUE(LEFT(LOWER(LEFT($A165,FIND("|",$A165)-1)),1)),-1))),"000000")&amp;MID(LOWER(LEFT($A165,FIND("|",$A165)-1)),LEN(TEXT(IFERROR(VALUE(LEFT(LOWER(LEFT($A165,FIND("|",$A165)-1)),3)),IFERROR(VALUE(LEFT(LOWER(LEFT($A165,FIND("|",$A165)-1)),2)),IFERROR(VALUE(LEFT(LOWER(LEFT($A165,FIND("|",$A165)-1)),1)),-1))),"0"))+1,99),LOWER(LEFT($A165,FIND("|",$A165)-1)))&amp;CHAR(9)&amp;TEXT(IF(SUBSTITUTE(MID($A165,FIND("|",$A165)+1,50),"'","")="",0,IFERROR(VALUE(SUBSTITUTE(MID($A165,FIND("|",$A165)+1,50),"'","")),999999)),"000000")&amp;CHAR(9)&amp;TEXT($B165,"0000"))</f>
        <v/>
      </c>
      <c r="E165" s="4">
        <f>IF($D165="","",SUMPRODUCT(($D$5:$D$364&lt;&gt;"")*($D$5:$D$364&lt;$D165))+1)</f>
        <v/>
      </c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70">
      <c r="A166" s="4">
        <f t="array" ref="A166">IF(N(INDIRECT("'Pull Sheet'!O48"))&gt;0,INDIRECT("'Pull Sheet'!M48")&amp;"|"&amp;INDIRECT("'Pull Sheet'!N48"),"")</f>
        <v/>
      </c>
      <c r="B166" s="4">
        <f>IF(AND($A166&lt;&gt;"",COUNTIF($A$5:$A166,$A166)=1),MAX($B$4:$B165)+1,"")</f>
        <v/>
      </c>
      <c r="C166" s="4">
        <f t="array" ref="C166">IF($A166="","",N(INDIRECT("'Pull Sheet'!O48")))</f>
        <v/>
      </c>
      <c r="D166" s="4">
        <f>IF($B166="","",IF(IFERROR(VALUE(LEFT(LOWER(LEFT($A166,FIND("|",$A166)-1)),3)),IFERROR(VALUE(LEFT(LOWER(LEFT($A166,FIND("|",$A166)-1)),2)),IFERROR(VALUE(LEFT(LOWER(LEFT($A166,FIND("|",$A166)-1)),1)),-1)))&gt;=0,TEXT(IFERROR(VALUE(LEFT(LOWER(LEFT($A166,FIND("|",$A166)-1)),3)),IFERROR(VALUE(LEFT(LOWER(LEFT($A166,FIND("|",$A166)-1)),2)),IFERROR(VALUE(LEFT(LOWER(LEFT($A166,FIND("|",$A166)-1)),1)),-1))),"000000")&amp;MID(LOWER(LEFT($A166,FIND("|",$A166)-1)),LEN(TEXT(IFERROR(VALUE(LEFT(LOWER(LEFT($A166,FIND("|",$A166)-1)),3)),IFERROR(VALUE(LEFT(LOWER(LEFT($A166,FIND("|",$A166)-1)),2)),IFERROR(VALUE(LEFT(LOWER(LEFT($A166,FIND("|",$A166)-1)),1)),-1))),"0"))+1,99),LOWER(LEFT($A166,FIND("|",$A166)-1)))&amp;CHAR(9)&amp;TEXT(IF(SUBSTITUTE(MID($A166,FIND("|",$A166)+1,50),"'","")="",0,IFERROR(VALUE(SUBSTITUTE(MID($A166,FIND("|",$A166)+1,50),"'","")),999999)),"000000")&amp;CHAR(9)&amp;TEXT($B166,"0000"))</f>
        <v/>
      </c>
      <c r="E166" s="4">
        <f>IF($D166="","",SUMPRODUCT(($D$5:$D$364&lt;&gt;"")*($D$5:$D$364&lt;$D166))+1)</f>
        <v/>
      </c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70">
      <c r="A167" s="4">
        <f t="array" ref="A167">IF(N(INDIRECT("'Pull Sheet'!O49"))&gt;0,INDIRECT("'Pull Sheet'!M49")&amp;"|"&amp;INDIRECT("'Pull Sheet'!N49"),"")</f>
        <v/>
      </c>
      <c r="B167" s="4">
        <f>IF(AND($A167&lt;&gt;"",COUNTIF($A$5:$A167,$A167)=1),MAX($B$4:$B166)+1,"")</f>
        <v/>
      </c>
      <c r="C167" s="4">
        <f t="array" ref="C167">IF($A167="","",N(INDIRECT("'Pull Sheet'!O49")))</f>
        <v/>
      </c>
      <c r="D167" s="4">
        <f>IF($B167="","",IF(IFERROR(VALUE(LEFT(LOWER(LEFT($A167,FIND("|",$A167)-1)),3)),IFERROR(VALUE(LEFT(LOWER(LEFT($A167,FIND("|",$A167)-1)),2)),IFERROR(VALUE(LEFT(LOWER(LEFT($A167,FIND("|",$A167)-1)),1)),-1)))&gt;=0,TEXT(IFERROR(VALUE(LEFT(LOWER(LEFT($A167,FIND("|",$A167)-1)),3)),IFERROR(VALUE(LEFT(LOWER(LEFT($A167,FIND("|",$A167)-1)),2)),IFERROR(VALUE(LEFT(LOWER(LEFT($A167,FIND("|",$A167)-1)),1)),-1))),"000000")&amp;MID(LOWER(LEFT($A167,FIND("|",$A167)-1)),LEN(TEXT(IFERROR(VALUE(LEFT(LOWER(LEFT($A167,FIND("|",$A167)-1)),3)),IFERROR(VALUE(LEFT(LOWER(LEFT($A167,FIND("|",$A167)-1)),2)),IFERROR(VALUE(LEFT(LOWER(LEFT($A167,FIND("|",$A167)-1)),1)),-1))),"0"))+1,99),LOWER(LEFT($A167,FIND("|",$A167)-1)))&amp;CHAR(9)&amp;TEXT(IF(SUBSTITUTE(MID($A167,FIND("|",$A167)+1,50),"'","")="",0,IFERROR(VALUE(SUBSTITUTE(MID($A167,FIND("|",$A167)+1,50),"'","")),999999)),"000000")&amp;CHAR(9)&amp;TEXT($B167,"0000"))</f>
        <v/>
      </c>
      <c r="E167" s="4">
        <f>IF($D167="","",SUMPRODUCT(($D$5:$D$364&lt;&gt;"")*($D$5:$D$364&lt;$D167))+1)</f>
        <v/>
      </c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70">
      <c r="A168" s="4">
        <f t="array" ref="A168">IF(N(INDIRECT("'Pull Sheet'!O50"))&gt;0,INDIRECT("'Pull Sheet'!M50")&amp;"|"&amp;INDIRECT("'Pull Sheet'!N50"),"")</f>
        <v/>
      </c>
      <c r="B168" s="4">
        <f>IF(AND($A168&lt;&gt;"",COUNTIF($A$5:$A168,$A168)=1),MAX($B$4:$B167)+1,"")</f>
        <v/>
      </c>
      <c r="C168" s="4">
        <f t="array" ref="C168">IF($A168="","",N(INDIRECT("'Pull Sheet'!O50")))</f>
        <v/>
      </c>
      <c r="D168" s="4">
        <f>IF($B168="","",IF(IFERROR(VALUE(LEFT(LOWER(LEFT($A168,FIND("|",$A168)-1)),3)),IFERROR(VALUE(LEFT(LOWER(LEFT($A168,FIND("|",$A168)-1)),2)),IFERROR(VALUE(LEFT(LOWER(LEFT($A168,FIND("|",$A168)-1)),1)),-1)))&gt;=0,TEXT(IFERROR(VALUE(LEFT(LOWER(LEFT($A168,FIND("|",$A168)-1)),3)),IFERROR(VALUE(LEFT(LOWER(LEFT($A168,FIND("|",$A168)-1)),2)),IFERROR(VALUE(LEFT(LOWER(LEFT($A168,FIND("|",$A168)-1)),1)),-1))),"000000")&amp;MID(LOWER(LEFT($A168,FIND("|",$A168)-1)),LEN(TEXT(IFERROR(VALUE(LEFT(LOWER(LEFT($A168,FIND("|",$A168)-1)),3)),IFERROR(VALUE(LEFT(LOWER(LEFT($A168,FIND("|",$A168)-1)),2)),IFERROR(VALUE(LEFT(LOWER(LEFT($A168,FIND("|",$A168)-1)),1)),-1))),"0"))+1,99),LOWER(LEFT($A168,FIND("|",$A168)-1)))&amp;CHAR(9)&amp;TEXT(IF(SUBSTITUTE(MID($A168,FIND("|",$A168)+1,50),"'","")="",0,IFERROR(VALUE(SUBSTITUTE(MID($A168,FIND("|",$A168)+1,50),"'","")),999999)),"000000")&amp;CHAR(9)&amp;TEXT($B168,"0000"))</f>
        <v/>
      </c>
      <c r="E168" s="4">
        <f>IF($D168="","",SUMPRODUCT(($D$5:$D$364&lt;&gt;"")*($D$5:$D$364&lt;$D168))+1)</f>
        <v/>
      </c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70">
      <c r="A169" s="4">
        <f t="array" ref="A169">IF(N(INDIRECT("'Pull Sheet'!O51"))&gt;0,INDIRECT("'Pull Sheet'!M51")&amp;"|"&amp;INDIRECT("'Pull Sheet'!N51"),"")</f>
        <v/>
      </c>
      <c r="B169" s="4">
        <f>IF(AND($A169&lt;&gt;"",COUNTIF($A$5:$A169,$A169)=1),MAX($B$4:$B168)+1,"")</f>
        <v/>
      </c>
      <c r="C169" s="4">
        <f t="array" ref="C169">IF($A169="","",N(INDIRECT("'Pull Sheet'!O51")))</f>
        <v/>
      </c>
      <c r="D169" s="4">
        <f>IF($B169="","",IF(IFERROR(VALUE(LEFT(LOWER(LEFT($A169,FIND("|",$A169)-1)),3)),IFERROR(VALUE(LEFT(LOWER(LEFT($A169,FIND("|",$A169)-1)),2)),IFERROR(VALUE(LEFT(LOWER(LEFT($A169,FIND("|",$A169)-1)),1)),-1)))&gt;=0,TEXT(IFERROR(VALUE(LEFT(LOWER(LEFT($A169,FIND("|",$A169)-1)),3)),IFERROR(VALUE(LEFT(LOWER(LEFT($A169,FIND("|",$A169)-1)),2)),IFERROR(VALUE(LEFT(LOWER(LEFT($A169,FIND("|",$A169)-1)),1)),-1))),"000000")&amp;MID(LOWER(LEFT($A169,FIND("|",$A169)-1)),LEN(TEXT(IFERROR(VALUE(LEFT(LOWER(LEFT($A169,FIND("|",$A169)-1)),3)),IFERROR(VALUE(LEFT(LOWER(LEFT($A169,FIND("|",$A169)-1)),2)),IFERROR(VALUE(LEFT(LOWER(LEFT($A169,FIND("|",$A169)-1)),1)),-1))),"0"))+1,99),LOWER(LEFT($A169,FIND("|",$A169)-1)))&amp;CHAR(9)&amp;TEXT(IF(SUBSTITUTE(MID($A169,FIND("|",$A169)+1,50),"'","")="",0,IFERROR(VALUE(SUBSTITUTE(MID($A169,FIND("|",$A169)+1,50),"'","")),999999)),"000000")&amp;CHAR(9)&amp;TEXT($B169,"0000"))</f>
        <v/>
      </c>
      <c r="E169" s="4">
        <f>IF($D169="","",SUMPRODUCT(($D$5:$D$364&lt;&gt;"")*($D$5:$D$364&lt;$D169))+1)</f>
        <v/>
      </c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70">
      <c r="A170" s="4">
        <f t="array" ref="A170">IF(N(INDIRECT("'Pull Sheet'!O52"))&gt;0,INDIRECT("'Pull Sheet'!M52")&amp;"|"&amp;INDIRECT("'Pull Sheet'!N52"),"")</f>
        <v/>
      </c>
      <c r="B170" s="4">
        <f>IF(AND($A170&lt;&gt;"",COUNTIF($A$5:$A170,$A170)=1),MAX($B$4:$B169)+1,"")</f>
        <v/>
      </c>
      <c r="C170" s="4">
        <f t="array" ref="C170">IF($A170="","",N(INDIRECT("'Pull Sheet'!O52")))</f>
        <v/>
      </c>
      <c r="D170" s="4">
        <f>IF($B170="","",IF(IFERROR(VALUE(LEFT(LOWER(LEFT($A170,FIND("|",$A170)-1)),3)),IFERROR(VALUE(LEFT(LOWER(LEFT($A170,FIND("|",$A170)-1)),2)),IFERROR(VALUE(LEFT(LOWER(LEFT($A170,FIND("|",$A170)-1)),1)),-1)))&gt;=0,TEXT(IFERROR(VALUE(LEFT(LOWER(LEFT($A170,FIND("|",$A170)-1)),3)),IFERROR(VALUE(LEFT(LOWER(LEFT($A170,FIND("|",$A170)-1)),2)),IFERROR(VALUE(LEFT(LOWER(LEFT($A170,FIND("|",$A170)-1)),1)),-1))),"000000")&amp;MID(LOWER(LEFT($A170,FIND("|",$A170)-1)),LEN(TEXT(IFERROR(VALUE(LEFT(LOWER(LEFT($A170,FIND("|",$A170)-1)),3)),IFERROR(VALUE(LEFT(LOWER(LEFT($A170,FIND("|",$A170)-1)),2)),IFERROR(VALUE(LEFT(LOWER(LEFT($A170,FIND("|",$A170)-1)),1)),-1))),"0"))+1,99),LOWER(LEFT($A170,FIND("|",$A170)-1)))&amp;CHAR(9)&amp;TEXT(IF(SUBSTITUTE(MID($A170,FIND("|",$A170)+1,50),"'","")="",0,IFERROR(VALUE(SUBSTITUTE(MID($A170,FIND("|",$A170)+1,50),"'","")),999999)),"000000")&amp;CHAR(9)&amp;TEXT($B170,"0000"))</f>
        <v/>
      </c>
      <c r="E170" s="4">
        <f>IF($D170="","",SUMPRODUCT(($D$5:$D$364&lt;&gt;"")*($D$5:$D$364&lt;$D170))+1)</f>
        <v/>
      </c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70">
      <c r="A171" s="4">
        <f t="array" ref="A171">IF(N(INDIRECT("'Pull Sheet'!O53"))&gt;0,INDIRECT("'Pull Sheet'!M53")&amp;"|"&amp;INDIRECT("'Pull Sheet'!N53"),"")</f>
        <v/>
      </c>
      <c r="B171" s="4">
        <f>IF(AND($A171&lt;&gt;"",COUNTIF($A$5:$A171,$A171)=1),MAX($B$4:$B170)+1,"")</f>
        <v/>
      </c>
      <c r="C171" s="4">
        <f t="array" ref="C171">IF($A171="","",N(INDIRECT("'Pull Sheet'!O53")))</f>
        <v/>
      </c>
      <c r="D171" s="4">
        <f>IF($B171="","",IF(IFERROR(VALUE(LEFT(LOWER(LEFT($A171,FIND("|",$A171)-1)),3)),IFERROR(VALUE(LEFT(LOWER(LEFT($A171,FIND("|",$A171)-1)),2)),IFERROR(VALUE(LEFT(LOWER(LEFT($A171,FIND("|",$A171)-1)),1)),-1)))&gt;=0,TEXT(IFERROR(VALUE(LEFT(LOWER(LEFT($A171,FIND("|",$A171)-1)),3)),IFERROR(VALUE(LEFT(LOWER(LEFT($A171,FIND("|",$A171)-1)),2)),IFERROR(VALUE(LEFT(LOWER(LEFT($A171,FIND("|",$A171)-1)),1)),-1))),"000000")&amp;MID(LOWER(LEFT($A171,FIND("|",$A171)-1)),LEN(TEXT(IFERROR(VALUE(LEFT(LOWER(LEFT($A171,FIND("|",$A171)-1)),3)),IFERROR(VALUE(LEFT(LOWER(LEFT($A171,FIND("|",$A171)-1)),2)),IFERROR(VALUE(LEFT(LOWER(LEFT($A171,FIND("|",$A171)-1)),1)),-1))),"0"))+1,99),LOWER(LEFT($A171,FIND("|",$A171)-1)))&amp;CHAR(9)&amp;TEXT(IF(SUBSTITUTE(MID($A171,FIND("|",$A171)+1,50),"'","")="",0,IFERROR(VALUE(SUBSTITUTE(MID($A171,FIND("|",$A171)+1,50),"'","")),999999)),"000000")&amp;CHAR(9)&amp;TEXT($B171,"0000"))</f>
        <v/>
      </c>
      <c r="E171" s="4">
        <f>IF($D171="","",SUMPRODUCT(($D$5:$D$364&lt;&gt;"")*($D$5:$D$364&lt;$D171))+1)</f>
        <v/>
      </c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70">
      <c r="A172" s="4">
        <f t="array" ref="A172">IF(N(INDIRECT("'Pull Sheet'!O54"))&gt;0,INDIRECT("'Pull Sheet'!M54")&amp;"|"&amp;INDIRECT("'Pull Sheet'!N54"),"")</f>
        <v/>
      </c>
      <c r="B172" s="4">
        <f>IF(AND($A172&lt;&gt;"",COUNTIF($A$5:$A172,$A172)=1),MAX($B$4:$B171)+1,"")</f>
        <v/>
      </c>
      <c r="C172" s="4">
        <f t="array" ref="C172">IF($A172="","",N(INDIRECT("'Pull Sheet'!O54")))</f>
        <v/>
      </c>
      <c r="D172" s="4">
        <f>IF($B172="","",IF(IFERROR(VALUE(LEFT(LOWER(LEFT($A172,FIND("|",$A172)-1)),3)),IFERROR(VALUE(LEFT(LOWER(LEFT($A172,FIND("|",$A172)-1)),2)),IFERROR(VALUE(LEFT(LOWER(LEFT($A172,FIND("|",$A172)-1)),1)),-1)))&gt;=0,TEXT(IFERROR(VALUE(LEFT(LOWER(LEFT($A172,FIND("|",$A172)-1)),3)),IFERROR(VALUE(LEFT(LOWER(LEFT($A172,FIND("|",$A172)-1)),2)),IFERROR(VALUE(LEFT(LOWER(LEFT($A172,FIND("|",$A172)-1)),1)),-1))),"000000")&amp;MID(LOWER(LEFT($A172,FIND("|",$A172)-1)),LEN(TEXT(IFERROR(VALUE(LEFT(LOWER(LEFT($A172,FIND("|",$A172)-1)),3)),IFERROR(VALUE(LEFT(LOWER(LEFT($A172,FIND("|",$A172)-1)),2)),IFERROR(VALUE(LEFT(LOWER(LEFT($A172,FIND("|",$A172)-1)),1)),-1))),"0"))+1,99),LOWER(LEFT($A172,FIND("|",$A172)-1)))&amp;CHAR(9)&amp;TEXT(IF(SUBSTITUTE(MID($A172,FIND("|",$A172)+1,50),"'","")="",0,IFERROR(VALUE(SUBSTITUTE(MID($A172,FIND("|",$A172)+1,50),"'","")),999999)),"000000")&amp;CHAR(9)&amp;TEXT($B172,"0000"))</f>
        <v/>
      </c>
      <c r="E172" s="4">
        <f>IF($D172="","",SUMPRODUCT(($D$5:$D$364&lt;&gt;"")*($D$5:$D$364&lt;$D172))+1)</f>
        <v/>
      </c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70">
      <c r="A173" s="4">
        <f t="array" ref="A173">IF(N(INDIRECT("'Pull Sheet'!O55"))&gt;0,INDIRECT("'Pull Sheet'!M55")&amp;"|"&amp;INDIRECT("'Pull Sheet'!N55"),"")</f>
        <v/>
      </c>
      <c r="B173" s="4">
        <f>IF(AND($A173&lt;&gt;"",COUNTIF($A$5:$A173,$A173)=1),MAX($B$4:$B172)+1,"")</f>
        <v/>
      </c>
      <c r="C173" s="4">
        <f t="array" ref="C173">IF($A173="","",N(INDIRECT("'Pull Sheet'!O55")))</f>
        <v/>
      </c>
      <c r="D173" s="4">
        <f>IF($B173="","",IF(IFERROR(VALUE(LEFT(LOWER(LEFT($A173,FIND("|",$A173)-1)),3)),IFERROR(VALUE(LEFT(LOWER(LEFT($A173,FIND("|",$A173)-1)),2)),IFERROR(VALUE(LEFT(LOWER(LEFT($A173,FIND("|",$A173)-1)),1)),-1)))&gt;=0,TEXT(IFERROR(VALUE(LEFT(LOWER(LEFT($A173,FIND("|",$A173)-1)),3)),IFERROR(VALUE(LEFT(LOWER(LEFT($A173,FIND("|",$A173)-1)),2)),IFERROR(VALUE(LEFT(LOWER(LEFT($A173,FIND("|",$A173)-1)),1)),-1))),"000000")&amp;MID(LOWER(LEFT($A173,FIND("|",$A173)-1)),LEN(TEXT(IFERROR(VALUE(LEFT(LOWER(LEFT($A173,FIND("|",$A173)-1)),3)),IFERROR(VALUE(LEFT(LOWER(LEFT($A173,FIND("|",$A173)-1)),2)),IFERROR(VALUE(LEFT(LOWER(LEFT($A173,FIND("|",$A173)-1)),1)),-1))),"0"))+1,99),LOWER(LEFT($A173,FIND("|",$A173)-1)))&amp;CHAR(9)&amp;TEXT(IF(SUBSTITUTE(MID($A173,FIND("|",$A173)+1,50),"'","")="",0,IFERROR(VALUE(SUBSTITUTE(MID($A173,FIND("|",$A173)+1,50),"'","")),999999)),"000000")&amp;CHAR(9)&amp;TEXT($B173,"0000"))</f>
        <v/>
      </c>
      <c r="E173" s="4">
        <f>IF($D173="","",SUMPRODUCT(($D$5:$D$364&lt;&gt;"")*($D$5:$D$364&lt;$D173))+1)</f>
        <v/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70">
      <c r="A174" s="4">
        <f t="array" ref="A174">IF(N(INDIRECT("'Pull Sheet'!O56"))&gt;0,INDIRECT("'Pull Sheet'!M56")&amp;"|"&amp;INDIRECT("'Pull Sheet'!N56"),"")</f>
        <v/>
      </c>
      <c r="B174" s="4">
        <f>IF(AND($A174&lt;&gt;"",COUNTIF($A$5:$A174,$A174)=1),MAX($B$4:$B173)+1,"")</f>
        <v/>
      </c>
      <c r="C174" s="4">
        <f t="array" ref="C174">IF($A174="","",N(INDIRECT("'Pull Sheet'!O56")))</f>
        <v/>
      </c>
      <c r="D174" s="4">
        <f>IF($B174="","",IF(IFERROR(VALUE(LEFT(LOWER(LEFT($A174,FIND("|",$A174)-1)),3)),IFERROR(VALUE(LEFT(LOWER(LEFT($A174,FIND("|",$A174)-1)),2)),IFERROR(VALUE(LEFT(LOWER(LEFT($A174,FIND("|",$A174)-1)),1)),-1)))&gt;=0,TEXT(IFERROR(VALUE(LEFT(LOWER(LEFT($A174,FIND("|",$A174)-1)),3)),IFERROR(VALUE(LEFT(LOWER(LEFT($A174,FIND("|",$A174)-1)),2)),IFERROR(VALUE(LEFT(LOWER(LEFT($A174,FIND("|",$A174)-1)),1)),-1))),"000000")&amp;MID(LOWER(LEFT($A174,FIND("|",$A174)-1)),LEN(TEXT(IFERROR(VALUE(LEFT(LOWER(LEFT($A174,FIND("|",$A174)-1)),3)),IFERROR(VALUE(LEFT(LOWER(LEFT($A174,FIND("|",$A174)-1)),2)),IFERROR(VALUE(LEFT(LOWER(LEFT($A174,FIND("|",$A174)-1)),1)),-1))),"0"))+1,99),LOWER(LEFT($A174,FIND("|",$A174)-1)))&amp;CHAR(9)&amp;TEXT(IF(SUBSTITUTE(MID($A174,FIND("|",$A174)+1,50),"'","")="",0,IFERROR(VALUE(SUBSTITUTE(MID($A174,FIND("|",$A174)+1,50),"'","")),999999)),"000000")&amp;CHAR(9)&amp;TEXT($B174,"0000"))</f>
        <v/>
      </c>
      <c r="E174" s="4">
        <f>IF($D174="","",SUMPRODUCT(($D$5:$D$364&lt;&gt;"")*($D$5:$D$364&lt;$D174))+1)</f>
        <v/>
      </c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70">
      <c r="A175" s="4">
        <f t="array" ref="A175">IF(N(INDIRECT("'Pull Sheet'!O57"))&gt;0,INDIRECT("'Pull Sheet'!M57")&amp;"|"&amp;INDIRECT("'Pull Sheet'!N57"),"")</f>
        <v/>
      </c>
      <c r="B175" s="4">
        <f>IF(AND($A175&lt;&gt;"",COUNTIF($A$5:$A175,$A175)=1),MAX($B$4:$B174)+1,"")</f>
        <v/>
      </c>
      <c r="C175" s="4">
        <f t="array" ref="C175">IF($A175="","",N(INDIRECT("'Pull Sheet'!O57")))</f>
        <v/>
      </c>
      <c r="D175" s="4">
        <f>IF($B175="","",IF(IFERROR(VALUE(LEFT(LOWER(LEFT($A175,FIND("|",$A175)-1)),3)),IFERROR(VALUE(LEFT(LOWER(LEFT($A175,FIND("|",$A175)-1)),2)),IFERROR(VALUE(LEFT(LOWER(LEFT($A175,FIND("|",$A175)-1)),1)),-1)))&gt;=0,TEXT(IFERROR(VALUE(LEFT(LOWER(LEFT($A175,FIND("|",$A175)-1)),3)),IFERROR(VALUE(LEFT(LOWER(LEFT($A175,FIND("|",$A175)-1)),2)),IFERROR(VALUE(LEFT(LOWER(LEFT($A175,FIND("|",$A175)-1)),1)),-1))),"000000")&amp;MID(LOWER(LEFT($A175,FIND("|",$A175)-1)),LEN(TEXT(IFERROR(VALUE(LEFT(LOWER(LEFT($A175,FIND("|",$A175)-1)),3)),IFERROR(VALUE(LEFT(LOWER(LEFT($A175,FIND("|",$A175)-1)),2)),IFERROR(VALUE(LEFT(LOWER(LEFT($A175,FIND("|",$A175)-1)),1)),-1))),"0"))+1,99),LOWER(LEFT($A175,FIND("|",$A175)-1)))&amp;CHAR(9)&amp;TEXT(IF(SUBSTITUTE(MID($A175,FIND("|",$A175)+1,50),"'","")="",0,IFERROR(VALUE(SUBSTITUTE(MID($A175,FIND("|",$A175)+1,50),"'","")),999999)),"000000")&amp;CHAR(9)&amp;TEXT($B175,"0000"))</f>
        <v/>
      </c>
      <c r="E175" s="4">
        <f>IF($D175="","",SUMPRODUCT(($D$5:$D$364&lt;&gt;"")*($D$5:$D$364&lt;$D175))+1)</f>
        <v/>
      </c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70">
      <c r="A176" s="4">
        <f t="array" ref="A176">IF(N(INDIRECT("'Pull Sheet'!O58"))&gt;0,INDIRECT("'Pull Sheet'!M58")&amp;"|"&amp;INDIRECT("'Pull Sheet'!N58"),"")</f>
        <v/>
      </c>
      <c r="B176" s="4">
        <f>IF(AND($A176&lt;&gt;"",COUNTIF($A$5:$A176,$A176)=1),MAX($B$4:$B175)+1,"")</f>
        <v/>
      </c>
      <c r="C176" s="4">
        <f t="array" ref="C176">IF($A176="","",N(INDIRECT("'Pull Sheet'!O58")))</f>
        <v/>
      </c>
      <c r="D176" s="4">
        <f>IF($B176="","",IF(IFERROR(VALUE(LEFT(LOWER(LEFT($A176,FIND("|",$A176)-1)),3)),IFERROR(VALUE(LEFT(LOWER(LEFT($A176,FIND("|",$A176)-1)),2)),IFERROR(VALUE(LEFT(LOWER(LEFT($A176,FIND("|",$A176)-1)),1)),-1)))&gt;=0,TEXT(IFERROR(VALUE(LEFT(LOWER(LEFT($A176,FIND("|",$A176)-1)),3)),IFERROR(VALUE(LEFT(LOWER(LEFT($A176,FIND("|",$A176)-1)),2)),IFERROR(VALUE(LEFT(LOWER(LEFT($A176,FIND("|",$A176)-1)),1)),-1))),"000000")&amp;MID(LOWER(LEFT($A176,FIND("|",$A176)-1)),LEN(TEXT(IFERROR(VALUE(LEFT(LOWER(LEFT($A176,FIND("|",$A176)-1)),3)),IFERROR(VALUE(LEFT(LOWER(LEFT($A176,FIND("|",$A176)-1)),2)),IFERROR(VALUE(LEFT(LOWER(LEFT($A176,FIND("|",$A176)-1)),1)),-1))),"0"))+1,99),LOWER(LEFT($A176,FIND("|",$A176)-1)))&amp;CHAR(9)&amp;TEXT(IF(SUBSTITUTE(MID($A176,FIND("|",$A176)+1,50),"'","")="",0,IFERROR(VALUE(SUBSTITUTE(MID($A176,FIND("|",$A176)+1,50),"'","")),999999)),"000000")&amp;CHAR(9)&amp;TEXT($B176,"0000"))</f>
        <v/>
      </c>
      <c r="E176" s="4">
        <f>IF($D176="","",SUMPRODUCT(($D$5:$D$364&lt;&gt;"")*($D$5:$D$364&lt;$D176))+1)</f>
        <v/>
      </c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70">
      <c r="A177" s="4">
        <f t="array" ref="A177">IF(N(INDIRECT("'Pull Sheet'!O59"))&gt;0,INDIRECT("'Pull Sheet'!M59")&amp;"|"&amp;INDIRECT("'Pull Sheet'!N59"),"")</f>
        <v/>
      </c>
      <c r="B177" s="4">
        <f>IF(AND($A177&lt;&gt;"",COUNTIF($A$5:$A177,$A177)=1),MAX($B$4:$B176)+1,"")</f>
        <v/>
      </c>
      <c r="C177" s="4">
        <f t="array" ref="C177">IF($A177="","",N(INDIRECT("'Pull Sheet'!O59")))</f>
        <v/>
      </c>
      <c r="D177" s="4">
        <f>IF($B177="","",IF(IFERROR(VALUE(LEFT(LOWER(LEFT($A177,FIND("|",$A177)-1)),3)),IFERROR(VALUE(LEFT(LOWER(LEFT($A177,FIND("|",$A177)-1)),2)),IFERROR(VALUE(LEFT(LOWER(LEFT($A177,FIND("|",$A177)-1)),1)),-1)))&gt;=0,TEXT(IFERROR(VALUE(LEFT(LOWER(LEFT($A177,FIND("|",$A177)-1)),3)),IFERROR(VALUE(LEFT(LOWER(LEFT($A177,FIND("|",$A177)-1)),2)),IFERROR(VALUE(LEFT(LOWER(LEFT($A177,FIND("|",$A177)-1)),1)),-1))),"000000")&amp;MID(LOWER(LEFT($A177,FIND("|",$A177)-1)),LEN(TEXT(IFERROR(VALUE(LEFT(LOWER(LEFT($A177,FIND("|",$A177)-1)),3)),IFERROR(VALUE(LEFT(LOWER(LEFT($A177,FIND("|",$A177)-1)),2)),IFERROR(VALUE(LEFT(LOWER(LEFT($A177,FIND("|",$A177)-1)),1)),-1))),"0"))+1,99),LOWER(LEFT($A177,FIND("|",$A177)-1)))&amp;CHAR(9)&amp;TEXT(IF(SUBSTITUTE(MID($A177,FIND("|",$A177)+1,50),"'","")="",0,IFERROR(VALUE(SUBSTITUTE(MID($A177,FIND("|",$A177)+1,50),"'","")),999999)),"000000")&amp;CHAR(9)&amp;TEXT($B177,"0000"))</f>
        <v/>
      </c>
      <c r="E177" s="4">
        <f>IF($D177="","",SUMPRODUCT(($D$5:$D$364&lt;&gt;"")*($D$5:$D$364&lt;$D177))+1)</f>
        <v/>
      </c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70">
      <c r="A178" s="4">
        <f t="array" ref="A178">IF(N(INDIRECT("'Pull Sheet'!O60"))&gt;0,INDIRECT("'Pull Sheet'!M60")&amp;"|"&amp;INDIRECT("'Pull Sheet'!N60"),"")</f>
        <v/>
      </c>
      <c r="B178" s="4">
        <f>IF(AND($A178&lt;&gt;"",COUNTIF($A$5:$A178,$A178)=1),MAX($B$4:$B177)+1,"")</f>
        <v/>
      </c>
      <c r="C178" s="4">
        <f t="array" ref="C178">IF($A178="","",N(INDIRECT("'Pull Sheet'!O60")))</f>
        <v/>
      </c>
      <c r="D178" s="4">
        <f>IF($B178="","",IF(IFERROR(VALUE(LEFT(LOWER(LEFT($A178,FIND("|",$A178)-1)),3)),IFERROR(VALUE(LEFT(LOWER(LEFT($A178,FIND("|",$A178)-1)),2)),IFERROR(VALUE(LEFT(LOWER(LEFT($A178,FIND("|",$A178)-1)),1)),-1)))&gt;=0,TEXT(IFERROR(VALUE(LEFT(LOWER(LEFT($A178,FIND("|",$A178)-1)),3)),IFERROR(VALUE(LEFT(LOWER(LEFT($A178,FIND("|",$A178)-1)),2)),IFERROR(VALUE(LEFT(LOWER(LEFT($A178,FIND("|",$A178)-1)),1)),-1))),"000000")&amp;MID(LOWER(LEFT($A178,FIND("|",$A178)-1)),LEN(TEXT(IFERROR(VALUE(LEFT(LOWER(LEFT($A178,FIND("|",$A178)-1)),3)),IFERROR(VALUE(LEFT(LOWER(LEFT($A178,FIND("|",$A178)-1)),2)),IFERROR(VALUE(LEFT(LOWER(LEFT($A178,FIND("|",$A178)-1)),1)),-1))),"0"))+1,99),LOWER(LEFT($A178,FIND("|",$A178)-1)))&amp;CHAR(9)&amp;TEXT(IF(SUBSTITUTE(MID($A178,FIND("|",$A178)+1,50),"'","")="",0,IFERROR(VALUE(SUBSTITUTE(MID($A178,FIND("|",$A178)+1,50),"'","")),999999)),"000000")&amp;CHAR(9)&amp;TEXT($B178,"0000"))</f>
        <v/>
      </c>
      <c r="E178" s="4">
        <f>IF($D178="","",SUMPRODUCT(($D$5:$D$364&lt;&gt;"")*($D$5:$D$364&lt;$D178))+1)</f>
        <v/>
      </c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70">
      <c r="A179" s="4">
        <f t="array" ref="A179">IF(N(INDIRECT("'Pull Sheet'!O61"))&gt;0,INDIRECT("'Pull Sheet'!M61")&amp;"|"&amp;INDIRECT("'Pull Sheet'!N61"),"")</f>
        <v/>
      </c>
      <c r="B179" s="4">
        <f>IF(AND($A179&lt;&gt;"",COUNTIF($A$5:$A179,$A179)=1),MAX($B$4:$B178)+1,"")</f>
        <v/>
      </c>
      <c r="C179" s="4">
        <f t="array" ref="C179">IF($A179="","",N(INDIRECT("'Pull Sheet'!O61")))</f>
        <v/>
      </c>
      <c r="D179" s="4">
        <f>IF($B179="","",IF(IFERROR(VALUE(LEFT(LOWER(LEFT($A179,FIND("|",$A179)-1)),3)),IFERROR(VALUE(LEFT(LOWER(LEFT($A179,FIND("|",$A179)-1)),2)),IFERROR(VALUE(LEFT(LOWER(LEFT($A179,FIND("|",$A179)-1)),1)),-1)))&gt;=0,TEXT(IFERROR(VALUE(LEFT(LOWER(LEFT($A179,FIND("|",$A179)-1)),3)),IFERROR(VALUE(LEFT(LOWER(LEFT($A179,FIND("|",$A179)-1)),2)),IFERROR(VALUE(LEFT(LOWER(LEFT($A179,FIND("|",$A179)-1)),1)),-1))),"000000")&amp;MID(LOWER(LEFT($A179,FIND("|",$A179)-1)),LEN(TEXT(IFERROR(VALUE(LEFT(LOWER(LEFT($A179,FIND("|",$A179)-1)),3)),IFERROR(VALUE(LEFT(LOWER(LEFT($A179,FIND("|",$A179)-1)),2)),IFERROR(VALUE(LEFT(LOWER(LEFT($A179,FIND("|",$A179)-1)),1)),-1))),"0"))+1,99),LOWER(LEFT($A179,FIND("|",$A179)-1)))&amp;CHAR(9)&amp;TEXT(IF(SUBSTITUTE(MID($A179,FIND("|",$A179)+1,50),"'","")="",0,IFERROR(VALUE(SUBSTITUTE(MID($A179,FIND("|",$A179)+1,50),"'","")),999999)),"000000")&amp;CHAR(9)&amp;TEXT($B179,"0000"))</f>
        <v/>
      </c>
      <c r="E179" s="4">
        <f>IF($D179="","",SUMPRODUCT(($D$5:$D$364&lt;&gt;"")*($D$5:$D$364&lt;$D179))+1)</f>
        <v/>
      </c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70">
      <c r="A180" s="4">
        <f t="array" ref="A180">IF(N(INDIRECT("'Pull Sheet'!O62"))&gt;0,INDIRECT("'Pull Sheet'!M62")&amp;"|"&amp;INDIRECT("'Pull Sheet'!N62"),"")</f>
        <v/>
      </c>
      <c r="B180" s="4">
        <f>IF(AND($A180&lt;&gt;"",COUNTIF($A$5:$A180,$A180)=1),MAX($B$4:$B179)+1,"")</f>
        <v/>
      </c>
      <c r="C180" s="4">
        <f t="array" ref="C180">IF($A180="","",N(INDIRECT("'Pull Sheet'!O62")))</f>
        <v/>
      </c>
      <c r="D180" s="4">
        <f>IF($B180="","",IF(IFERROR(VALUE(LEFT(LOWER(LEFT($A180,FIND("|",$A180)-1)),3)),IFERROR(VALUE(LEFT(LOWER(LEFT($A180,FIND("|",$A180)-1)),2)),IFERROR(VALUE(LEFT(LOWER(LEFT($A180,FIND("|",$A180)-1)),1)),-1)))&gt;=0,TEXT(IFERROR(VALUE(LEFT(LOWER(LEFT($A180,FIND("|",$A180)-1)),3)),IFERROR(VALUE(LEFT(LOWER(LEFT($A180,FIND("|",$A180)-1)),2)),IFERROR(VALUE(LEFT(LOWER(LEFT($A180,FIND("|",$A180)-1)),1)),-1))),"000000")&amp;MID(LOWER(LEFT($A180,FIND("|",$A180)-1)),LEN(TEXT(IFERROR(VALUE(LEFT(LOWER(LEFT($A180,FIND("|",$A180)-1)),3)),IFERROR(VALUE(LEFT(LOWER(LEFT($A180,FIND("|",$A180)-1)),2)),IFERROR(VALUE(LEFT(LOWER(LEFT($A180,FIND("|",$A180)-1)),1)),-1))),"0"))+1,99),LOWER(LEFT($A180,FIND("|",$A180)-1)))&amp;CHAR(9)&amp;TEXT(IF(SUBSTITUTE(MID($A180,FIND("|",$A180)+1,50),"'","")="",0,IFERROR(VALUE(SUBSTITUTE(MID($A180,FIND("|",$A180)+1,50),"'","")),999999)),"000000")&amp;CHAR(9)&amp;TEXT($B180,"0000"))</f>
        <v/>
      </c>
      <c r="E180" s="4">
        <f>IF($D180="","",SUMPRODUCT(($D$5:$D$364&lt;&gt;"")*($D$5:$D$364&lt;$D180))+1)</f>
        <v/>
      </c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70">
      <c r="A181" s="4">
        <f t="array" ref="A181">IF(N(INDIRECT("'Pull Sheet'!O63"))&gt;0,INDIRECT("'Pull Sheet'!M63")&amp;"|"&amp;INDIRECT("'Pull Sheet'!N63"),"")</f>
        <v/>
      </c>
      <c r="B181" s="4">
        <f>IF(AND($A181&lt;&gt;"",COUNTIF($A$5:$A181,$A181)=1),MAX($B$4:$B180)+1,"")</f>
        <v/>
      </c>
      <c r="C181" s="4">
        <f t="array" ref="C181">IF($A181="","",N(INDIRECT("'Pull Sheet'!O63")))</f>
        <v/>
      </c>
      <c r="D181" s="4">
        <f>IF($B181="","",IF(IFERROR(VALUE(LEFT(LOWER(LEFT($A181,FIND("|",$A181)-1)),3)),IFERROR(VALUE(LEFT(LOWER(LEFT($A181,FIND("|",$A181)-1)),2)),IFERROR(VALUE(LEFT(LOWER(LEFT($A181,FIND("|",$A181)-1)),1)),-1)))&gt;=0,TEXT(IFERROR(VALUE(LEFT(LOWER(LEFT($A181,FIND("|",$A181)-1)),3)),IFERROR(VALUE(LEFT(LOWER(LEFT($A181,FIND("|",$A181)-1)),2)),IFERROR(VALUE(LEFT(LOWER(LEFT($A181,FIND("|",$A181)-1)),1)),-1))),"000000")&amp;MID(LOWER(LEFT($A181,FIND("|",$A181)-1)),LEN(TEXT(IFERROR(VALUE(LEFT(LOWER(LEFT($A181,FIND("|",$A181)-1)),3)),IFERROR(VALUE(LEFT(LOWER(LEFT($A181,FIND("|",$A181)-1)),2)),IFERROR(VALUE(LEFT(LOWER(LEFT($A181,FIND("|",$A181)-1)),1)),-1))),"0"))+1,99),LOWER(LEFT($A181,FIND("|",$A181)-1)))&amp;CHAR(9)&amp;TEXT(IF(SUBSTITUTE(MID($A181,FIND("|",$A181)+1,50),"'","")="",0,IFERROR(VALUE(SUBSTITUTE(MID($A181,FIND("|",$A181)+1,50),"'","")),999999)),"000000")&amp;CHAR(9)&amp;TEXT($B181,"0000"))</f>
        <v/>
      </c>
      <c r="E181" s="4">
        <f>IF($D181="","",SUMPRODUCT(($D$5:$D$364&lt;&gt;"")*($D$5:$D$364&lt;$D181))+1)</f>
        <v/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70">
      <c r="A182" s="4">
        <f t="array" ref="A182">IF(N(INDIRECT("'Pull Sheet'!O64"))&gt;0,INDIRECT("'Pull Sheet'!M64")&amp;"|"&amp;INDIRECT("'Pull Sheet'!N64"),"")</f>
        <v/>
      </c>
      <c r="B182" s="4">
        <f>IF(AND($A182&lt;&gt;"",COUNTIF($A$5:$A182,$A182)=1),MAX($B$4:$B181)+1,"")</f>
        <v/>
      </c>
      <c r="C182" s="4">
        <f t="array" ref="C182">IF($A182="","",N(INDIRECT("'Pull Sheet'!O64")))</f>
        <v/>
      </c>
      <c r="D182" s="4">
        <f>IF($B182="","",IF(IFERROR(VALUE(LEFT(LOWER(LEFT($A182,FIND("|",$A182)-1)),3)),IFERROR(VALUE(LEFT(LOWER(LEFT($A182,FIND("|",$A182)-1)),2)),IFERROR(VALUE(LEFT(LOWER(LEFT($A182,FIND("|",$A182)-1)),1)),-1)))&gt;=0,TEXT(IFERROR(VALUE(LEFT(LOWER(LEFT($A182,FIND("|",$A182)-1)),3)),IFERROR(VALUE(LEFT(LOWER(LEFT($A182,FIND("|",$A182)-1)),2)),IFERROR(VALUE(LEFT(LOWER(LEFT($A182,FIND("|",$A182)-1)),1)),-1))),"000000")&amp;MID(LOWER(LEFT($A182,FIND("|",$A182)-1)),LEN(TEXT(IFERROR(VALUE(LEFT(LOWER(LEFT($A182,FIND("|",$A182)-1)),3)),IFERROR(VALUE(LEFT(LOWER(LEFT($A182,FIND("|",$A182)-1)),2)),IFERROR(VALUE(LEFT(LOWER(LEFT($A182,FIND("|",$A182)-1)),1)),-1))),"0"))+1,99),LOWER(LEFT($A182,FIND("|",$A182)-1)))&amp;CHAR(9)&amp;TEXT(IF(SUBSTITUTE(MID($A182,FIND("|",$A182)+1,50),"'","")="",0,IFERROR(VALUE(SUBSTITUTE(MID($A182,FIND("|",$A182)+1,50),"'","")),999999)),"000000")&amp;CHAR(9)&amp;TEXT($B182,"0000"))</f>
        <v/>
      </c>
      <c r="E182" s="4">
        <f>IF($D182="","",SUMPRODUCT(($D$5:$D$364&lt;&gt;"")*($D$5:$D$364&lt;$D182))+1)</f>
        <v/>
      </c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70">
      <c r="A183" s="4">
        <f t="array" ref="A183">IF(N(INDIRECT("'Pull Sheet'!O65"))&gt;0,INDIRECT("'Pull Sheet'!M65")&amp;"|"&amp;INDIRECT("'Pull Sheet'!N65"),"")</f>
        <v/>
      </c>
      <c r="B183" s="4">
        <f>IF(AND($A183&lt;&gt;"",COUNTIF($A$5:$A183,$A183)=1),MAX($B$4:$B182)+1,"")</f>
        <v/>
      </c>
      <c r="C183" s="4">
        <f t="array" ref="C183">IF($A183="","",N(INDIRECT("'Pull Sheet'!O65")))</f>
        <v/>
      </c>
      <c r="D183" s="4">
        <f>IF($B183="","",IF(IFERROR(VALUE(LEFT(LOWER(LEFT($A183,FIND("|",$A183)-1)),3)),IFERROR(VALUE(LEFT(LOWER(LEFT($A183,FIND("|",$A183)-1)),2)),IFERROR(VALUE(LEFT(LOWER(LEFT($A183,FIND("|",$A183)-1)),1)),-1)))&gt;=0,TEXT(IFERROR(VALUE(LEFT(LOWER(LEFT($A183,FIND("|",$A183)-1)),3)),IFERROR(VALUE(LEFT(LOWER(LEFT($A183,FIND("|",$A183)-1)),2)),IFERROR(VALUE(LEFT(LOWER(LEFT($A183,FIND("|",$A183)-1)),1)),-1))),"000000")&amp;MID(LOWER(LEFT($A183,FIND("|",$A183)-1)),LEN(TEXT(IFERROR(VALUE(LEFT(LOWER(LEFT($A183,FIND("|",$A183)-1)),3)),IFERROR(VALUE(LEFT(LOWER(LEFT($A183,FIND("|",$A183)-1)),2)),IFERROR(VALUE(LEFT(LOWER(LEFT($A183,FIND("|",$A183)-1)),1)),-1))),"0"))+1,99),LOWER(LEFT($A183,FIND("|",$A183)-1)))&amp;CHAR(9)&amp;TEXT(IF(SUBSTITUTE(MID($A183,FIND("|",$A183)+1,50),"'","")="",0,IFERROR(VALUE(SUBSTITUTE(MID($A183,FIND("|",$A183)+1,50),"'","")),999999)),"000000")&amp;CHAR(9)&amp;TEXT($B183,"0000"))</f>
        <v/>
      </c>
      <c r="E183" s="4">
        <f>IF($D183="","",SUMPRODUCT(($D$5:$D$364&lt;&gt;"")*($D$5:$D$364&lt;$D183))+1)</f>
        <v/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70">
      <c r="A184" s="4">
        <f t="array" ref="A184">IF(N(INDIRECT("'Pull Sheet'!O66"))&gt;0,INDIRECT("'Pull Sheet'!M66")&amp;"|"&amp;INDIRECT("'Pull Sheet'!N66"),"")</f>
        <v/>
      </c>
      <c r="B184" s="4">
        <f>IF(AND($A184&lt;&gt;"",COUNTIF($A$5:$A184,$A184)=1),MAX($B$4:$B183)+1,"")</f>
        <v/>
      </c>
      <c r="C184" s="4">
        <f t="array" ref="C184">IF($A184="","",N(INDIRECT("'Pull Sheet'!O66")))</f>
        <v/>
      </c>
      <c r="D184" s="4">
        <f>IF($B184="","",IF(IFERROR(VALUE(LEFT(LOWER(LEFT($A184,FIND("|",$A184)-1)),3)),IFERROR(VALUE(LEFT(LOWER(LEFT($A184,FIND("|",$A184)-1)),2)),IFERROR(VALUE(LEFT(LOWER(LEFT($A184,FIND("|",$A184)-1)),1)),-1)))&gt;=0,TEXT(IFERROR(VALUE(LEFT(LOWER(LEFT($A184,FIND("|",$A184)-1)),3)),IFERROR(VALUE(LEFT(LOWER(LEFT($A184,FIND("|",$A184)-1)),2)),IFERROR(VALUE(LEFT(LOWER(LEFT($A184,FIND("|",$A184)-1)),1)),-1))),"000000")&amp;MID(LOWER(LEFT($A184,FIND("|",$A184)-1)),LEN(TEXT(IFERROR(VALUE(LEFT(LOWER(LEFT($A184,FIND("|",$A184)-1)),3)),IFERROR(VALUE(LEFT(LOWER(LEFT($A184,FIND("|",$A184)-1)),2)),IFERROR(VALUE(LEFT(LOWER(LEFT($A184,FIND("|",$A184)-1)),1)),-1))),"0"))+1,99),LOWER(LEFT($A184,FIND("|",$A184)-1)))&amp;CHAR(9)&amp;TEXT(IF(SUBSTITUTE(MID($A184,FIND("|",$A184)+1,50),"'","")="",0,IFERROR(VALUE(SUBSTITUTE(MID($A184,FIND("|",$A184)+1,50),"'","")),999999)),"000000")&amp;CHAR(9)&amp;TEXT($B184,"0000"))</f>
        <v/>
      </c>
      <c r="E184" s="4">
        <f>IF($D184="","",SUMPRODUCT(($D$5:$D$364&lt;&gt;"")*($D$5:$D$364&lt;$D184))+1)</f>
        <v/>
      </c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70">
      <c r="A185" s="4">
        <f t="array" ref="A185">IF(N(INDIRECT("'Pull Sheet'!U7"))&gt;0,INDIRECT("'Pull Sheet'!S7")&amp;"|"&amp;INDIRECT("'Pull Sheet'!T7"),"")</f>
        <v/>
      </c>
      <c r="B185" s="4">
        <f>IF(AND($A185&lt;&gt;"",COUNTIF($A$5:$A185,$A185)=1),MAX($B$4:$B184)+1,"")</f>
        <v/>
      </c>
      <c r="C185" s="4">
        <f t="array" ref="C185">IF($A185="","",N(INDIRECT("'Pull Sheet'!U7")))</f>
        <v/>
      </c>
      <c r="D185" s="4">
        <f>IF($B185="","",IF(IFERROR(VALUE(LEFT(LOWER(LEFT($A185,FIND("|",$A185)-1)),3)),IFERROR(VALUE(LEFT(LOWER(LEFT($A185,FIND("|",$A185)-1)),2)),IFERROR(VALUE(LEFT(LOWER(LEFT($A185,FIND("|",$A185)-1)),1)),-1)))&gt;=0,TEXT(IFERROR(VALUE(LEFT(LOWER(LEFT($A185,FIND("|",$A185)-1)),3)),IFERROR(VALUE(LEFT(LOWER(LEFT($A185,FIND("|",$A185)-1)),2)),IFERROR(VALUE(LEFT(LOWER(LEFT($A185,FIND("|",$A185)-1)),1)),-1))),"000000")&amp;MID(LOWER(LEFT($A185,FIND("|",$A185)-1)),LEN(TEXT(IFERROR(VALUE(LEFT(LOWER(LEFT($A185,FIND("|",$A185)-1)),3)),IFERROR(VALUE(LEFT(LOWER(LEFT($A185,FIND("|",$A185)-1)),2)),IFERROR(VALUE(LEFT(LOWER(LEFT($A185,FIND("|",$A185)-1)),1)),-1))),"0"))+1,99),LOWER(LEFT($A185,FIND("|",$A185)-1)))&amp;CHAR(9)&amp;TEXT(IF(SUBSTITUTE(MID($A185,FIND("|",$A185)+1,50),"'","")="",0,IFERROR(VALUE(SUBSTITUTE(MID($A185,FIND("|",$A185)+1,50),"'","")),999999)),"000000")&amp;CHAR(9)&amp;TEXT($B185,"0000"))</f>
        <v/>
      </c>
      <c r="E185" s="4">
        <f>IF($D185="","",SUMPRODUCT(($D$5:$D$364&lt;&gt;"")*($D$5:$D$364&lt;$D185))+1)</f>
        <v/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70">
      <c r="A186" s="4">
        <f t="array" ref="A186">IF(N(INDIRECT("'Pull Sheet'!U8"))&gt;0,INDIRECT("'Pull Sheet'!S8")&amp;"|"&amp;INDIRECT("'Pull Sheet'!T8"),"")</f>
        <v/>
      </c>
      <c r="B186" s="4">
        <f>IF(AND($A186&lt;&gt;"",COUNTIF($A$5:$A186,$A186)=1),MAX($B$4:$B185)+1,"")</f>
        <v/>
      </c>
      <c r="C186" s="4">
        <f t="array" ref="C186">IF($A186="","",N(INDIRECT("'Pull Sheet'!U8")))</f>
        <v/>
      </c>
      <c r="D186" s="4">
        <f>IF($B186="","",IF(IFERROR(VALUE(LEFT(LOWER(LEFT($A186,FIND("|",$A186)-1)),3)),IFERROR(VALUE(LEFT(LOWER(LEFT($A186,FIND("|",$A186)-1)),2)),IFERROR(VALUE(LEFT(LOWER(LEFT($A186,FIND("|",$A186)-1)),1)),-1)))&gt;=0,TEXT(IFERROR(VALUE(LEFT(LOWER(LEFT($A186,FIND("|",$A186)-1)),3)),IFERROR(VALUE(LEFT(LOWER(LEFT($A186,FIND("|",$A186)-1)),2)),IFERROR(VALUE(LEFT(LOWER(LEFT($A186,FIND("|",$A186)-1)),1)),-1))),"000000")&amp;MID(LOWER(LEFT($A186,FIND("|",$A186)-1)),LEN(TEXT(IFERROR(VALUE(LEFT(LOWER(LEFT($A186,FIND("|",$A186)-1)),3)),IFERROR(VALUE(LEFT(LOWER(LEFT($A186,FIND("|",$A186)-1)),2)),IFERROR(VALUE(LEFT(LOWER(LEFT($A186,FIND("|",$A186)-1)),1)),-1))),"0"))+1,99),LOWER(LEFT($A186,FIND("|",$A186)-1)))&amp;CHAR(9)&amp;TEXT(IF(SUBSTITUTE(MID($A186,FIND("|",$A186)+1,50),"'","")="",0,IFERROR(VALUE(SUBSTITUTE(MID($A186,FIND("|",$A186)+1,50),"'","")),999999)),"000000")&amp;CHAR(9)&amp;TEXT($B186,"0000"))</f>
        <v/>
      </c>
      <c r="E186" s="4">
        <f>IF($D186="","",SUMPRODUCT(($D$5:$D$364&lt;&gt;"")*($D$5:$D$364&lt;$D186))+1)</f>
        <v/>
      </c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70">
      <c r="A187" s="4">
        <f t="array" ref="A187">IF(N(INDIRECT("'Pull Sheet'!U9"))&gt;0,INDIRECT("'Pull Sheet'!S9")&amp;"|"&amp;INDIRECT("'Pull Sheet'!T9"),"")</f>
        <v/>
      </c>
      <c r="B187" s="4">
        <f>IF(AND($A187&lt;&gt;"",COUNTIF($A$5:$A187,$A187)=1),MAX($B$4:$B186)+1,"")</f>
        <v/>
      </c>
      <c r="C187" s="4">
        <f t="array" ref="C187">IF($A187="","",N(INDIRECT("'Pull Sheet'!U9")))</f>
        <v/>
      </c>
      <c r="D187" s="4">
        <f>IF($B187="","",IF(IFERROR(VALUE(LEFT(LOWER(LEFT($A187,FIND("|",$A187)-1)),3)),IFERROR(VALUE(LEFT(LOWER(LEFT($A187,FIND("|",$A187)-1)),2)),IFERROR(VALUE(LEFT(LOWER(LEFT($A187,FIND("|",$A187)-1)),1)),-1)))&gt;=0,TEXT(IFERROR(VALUE(LEFT(LOWER(LEFT($A187,FIND("|",$A187)-1)),3)),IFERROR(VALUE(LEFT(LOWER(LEFT($A187,FIND("|",$A187)-1)),2)),IFERROR(VALUE(LEFT(LOWER(LEFT($A187,FIND("|",$A187)-1)),1)),-1))),"000000")&amp;MID(LOWER(LEFT($A187,FIND("|",$A187)-1)),LEN(TEXT(IFERROR(VALUE(LEFT(LOWER(LEFT($A187,FIND("|",$A187)-1)),3)),IFERROR(VALUE(LEFT(LOWER(LEFT($A187,FIND("|",$A187)-1)),2)),IFERROR(VALUE(LEFT(LOWER(LEFT($A187,FIND("|",$A187)-1)),1)),-1))),"0"))+1,99),LOWER(LEFT($A187,FIND("|",$A187)-1)))&amp;CHAR(9)&amp;TEXT(IF(SUBSTITUTE(MID($A187,FIND("|",$A187)+1,50),"'","")="",0,IFERROR(VALUE(SUBSTITUTE(MID($A187,FIND("|",$A187)+1,50),"'","")),999999)),"000000")&amp;CHAR(9)&amp;TEXT($B187,"0000"))</f>
        <v/>
      </c>
      <c r="E187" s="4">
        <f>IF($D187="","",SUMPRODUCT(($D$5:$D$364&lt;&gt;"")*($D$5:$D$364&lt;$D187))+1)</f>
        <v/>
      </c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70">
      <c r="A188" s="4">
        <f t="array" ref="A188">IF(N(INDIRECT("'Pull Sheet'!U10"))&gt;0,INDIRECT("'Pull Sheet'!S10")&amp;"|"&amp;INDIRECT("'Pull Sheet'!T10"),"")</f>
        <v/>
      </c>
      <c r="B188" s="4">
        <f>IF(AND($A188&lt;&gt;"",COUNTIF($A$5:$A188,$A188)=1),MAX($B$4:$B187)+1,"")</f>
        <v/>
      </c>
      <c r="C188" s="4">
        <f t="array" ref="C188">IF($A188="","",N(INDIRECT("'Pull Sheet'!U10")))</f>
        <v/>
      </c>
      <c r="D188" s="4">
        <f>IF($B188="","",IF(IFERROR(VALUE(LEFT(LOWER(LEFT($A188,FIND("|",$A188)-1)),3)),IFERROR(VALUE(LEFT(LOWER(LEFT($A188,FIND("|",$A188)-1)),2)),IFERROR(VALUE(LEFT(LOWER(LEFT($A188,FIND("|",$A188)-1)),1)),-1)))&gt;=0,TEXT(IFERROR(VALUE(LEFT(LOWER(LEFT($A188,FIND("|",$A188)-1)),3)),IFERROR(VALUE(LEFT(LOWER(LEFT($A188,FIND("|",$A188)-1)),2)),IFERROR(VALUE(LEFT(LOWER(LEFT($A188,FIND("|",$A188)-1)),1)),-1))),"000000")&amp;MID(LOWER(LEFT($A188,FIND("|",$A188)-1)),LEN(TEXT(IFERROR(VALUE(LEFT(LOWER(LEFT($A188,FIND("|",$A188)-1)),3)),IFERROR(VALUE(LEFT(LOWER(LEFT($A188,FIND("|",$A188)-1)),2)),IFERROR(VALUE(LEFT(LOWER(LEFT($A188,FIND("|",$A188)-1)),1)),-1))),"0"))+1,99),LOWER(LEFT($A188,FIND("|",$A188)-1)))&amp;CHAR(9)&amp;TEXT(IF(SUBSTITUTE(MID($A188,FIND("|",$A188)+1,50),"'","")="",0,IFERROR(VALUE(SUBSTITUTE(MID($A188,FIND("|",$A188)+1,50),"'","")),999999)),"000000")&amp;CHAR(9)&amp;TEXT($B188,"0000"))</f>
        <v/>
      </c>
      <c r="E188" s="4">
        <f>IF($D188="","",SUMPRODUCT(($D$5:$D$364&lt;&gt;"")*($D$5:$D$364&lt;$D188))+1)</f>
        <v/>
      </c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70">
      <c r="A189" s="4">
        <f t="array" ref="A189">IF(N(INDIRECT("'Pull Sheet'!U11"))&gt;0,INDIRECT("'Pull Sheet'!S11")&amp;"|"&amp;INDIRECT("'Pull Sheet'!T11"),"")</f>
        <v/>
      </c>
      <c r="B189" s="4">
        <f>IF(AND($A189&lt;&gt;"",COUNTIF($A$5:$A189,$A189)=1),MAX($B$4:$B188)+1,"")</f>
        <v/>
      </c>
      <c r="C189" s="4">
        <f t="array" ref="C189">IF($A189="","",N(INDIRECT("'Pull Sheet'!U11")))</f>
        <v/>
      </c>
      <c r="D189" s="4">
        <f>IF($B189="","",IF(IFERROR(VALUE(LEFT(LOWER(LEFT($A189,FIND("|",$A189)-1)),3)),IFERROR(VALUE(LEFT(LOWER(LEFT($A189,FIND("|",$A189)-1)),2)),IFERROR(VALUE(LEFT(LOWER(LEFT($A189,FIND("|",$A189)-1)),1)),-1)))&gt;=0,TEXT(IFERROR(VALUE(LEFT(LOWER(LEFT($A189,FIND("|",$A189)-1)),3)),IFERROR(VALUE(LEFT(LOWER(LEFT($A189,FIND("|",$A189)-1)),2)),IFERROR(VALUE(LEFT(LOWER(LEFT($A189,FIND("|",$A189)-1)),1)),-1))),"000000")&amp;MID(LOWER(LEFT($A189,FIND("|",$A189)-1)),LEN(TEXT(IFERROR(VALUE(LEFT(LOWER(LEFT($A189,FIND("|",$A189)-1)),3)),IFERROR(VALUE(LEFT(LOWER(LEFT($A189,FIND("|",$A189)-1)),2)),IFERROR(VALUE(LEFT(LOWER(LEFT($A189,FIND("|",$A189)-1)),1)),-1))),"0"))+1,99),LOWER(LEFT($A189,FIND("|",$A189)-1)))&amp;CHAR(9)&amp;TEXT(IF(SUBSTITUTE(MID($A189,FIND("|",$A189)+1,50),"'","")="",0,IFERROR(VALUE(SUBSTITUTE(MID($A189,FIND("|",$A189)+1,50),"'","")),999999)),"000000")&amp;CHAR(9)&amp;TEXT($B189,"0000"))</f>
        <v/>
      </c>
      <c r="E189" s="4">
        <f>IF($D189="","",SUMPRODUCT(($D$5:$D$364&lt;&gt;"")*($D$5:$D$364&lt;$D189))+1)</f>
        <v/>
      </c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70">
      <c r="A190" s="4">
        <f t="array" ref="A190">IF(N(INDIRECT("'Pull Sheet'!U12"))&gt;0,INDIRECT("'Pull Sheet'!S12")&amp;"|"&amp;INDIRECT("'Pull Sheet'!T12"),"")</f>
        <v/>
      </c>
      <c r="B190" s="4">
        <f>IF(AND($A190&lt;&gt;"",COUNTIF($A$5:$A190,$A190)=1),MAX($B$4:$B189)+1,"")</f>
        <v/>
      </c>
      <c r="C190" s="4">
        <f t="array" ref="C190">IF($A190="","",N(INDIRECT("'Pull Sheet'!U12")))</f>
        <v/>
      </c>
      <c r="D190" s="4">
        <f>IF($B190="","",IF(IFERROR(VALUE(LEFT(LOWER(LEFT($A190,FIND("|",$A190)-1)),3)),IFERROR(VALUE(LEFT(LOWER(LEFT($A190,FIND("|",$A190)-1)),2)),IFERROR(VALUE(LEFT(LOWER(LEFT($A190,FIND("|",$A190)-1)),1)),-1)))&gt;=0,TEXT(IFERROR(VALUE(LEFT(LOWER(LEFT($A190,FIND("|",$A190)-1)),3)),IFERROR(VALUE(LEFT(LOWER(LEFT($A190,FIND("|",$A190)-1)),2)),IFERROR(VALUE(LEFT(LOWER(LEFT($A190,FIND("|",$A190)-1)),1)),-1))),"000000")&amp;MID(LOWER(LEFT($A190,FIND("|",$A190)-1)),LEN(TEXT(IFERROR(VALUE(LEFT(LOWER(LEFT($A190,FIND("|",$A190)-1)),3)),IFERROR(VALUE(LEFT(LOWER(LEFT($A190,FIND("|",$A190)-1)),2)),IFERROR(VALUE(LEFT(LOWER(LEFT($A190,FIND("|",$A190)-1)),1)),-1))),"0"))+1,99),LOWER(LEFT($A190,FIND("|",$A190)-1)))&amp;CHAR(9)&amp;TEXT(IF(SUBSTITUTE(MID($A190,FIND("|",$A190)+1,50),"'","")="",0,IFERROR(VALUE(SUBSTITUTE(MID($A190,FIND("|",$A190)+1,50),"'","")),999999)),"000000")&amp;CHAR(9)&amp;TEXT($B190,"0000"))</f>
        <v/>
      </c>
      <c r="E190" s="4">
        <f>IF($D190="","",SUMPRODUCT(($D$5:$D$364&lt;&gt;"")*($D$5:$D$364&lt;$D190))+1)</f>
        <v/>
      </c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70">
      <c r="A191" s="4">
        <f t="array" ref="A191">IF(N(INDIRECT("'Pull Sheet'!U13"))&gt;0,INDIRECT("'Pull Sheet'!S13")&amp;"|"&amp;INDIRECT("'Pull Sheet'!T13"),"")</f>
        <v/>
      </c>
      <c r="B191" s="4">
        <f>IF(AND($A191&lt;&gt;"",COUNTIF($A$5:$A191,$A191)=1),MAX($B$4:$B190)+1,"")</f>
        <v/>
      </c>
      <c r="C191" s="4">
        <f t="array" ref="C191">IF($A191="","",N(INDIRECT("'Pull Sheet'!U13")))</f>
        <v/>
      </c>
      <c r="D191" s="4">
        <f>IF($B191="","",IF(IFERROR(VALUE(LEFT(LOWER(LEFT($A191,FIND("|",$A191)-1)),3)),IFERROR(VALUE(LEFT(LOWER(LEFT($A191,FIND("|",$A191)-1)),2)),IFERROR(VALUE(LEFT(LOWER(LEFT($A191,FIND("|",$A191)-1)),1)),-1)))&gt;=0,TEXT(IFERROR(VALUE(LEFT(LOWER(LEFT($A191,FIND("|",$A191)-1)),3)),IFERROR(VALUE(LEFT(LOWER(LEFT($A191,FIND("|",$A191)-1)),2)),IFERROR(VALUE(LEFT(LOWER(LEFT($A191,FIND("|",$A191)-1)),1)),-1))),"000000")&amp;MID(LOWER(LEFT($A191,FIND("|",$A191)-1)),LEN(TEXT(IFERROR(VALUE(LEFT(LOWER(LEFT($A191,FIND("|",$A191)-1)),3)),IFERROR(VALUE(LEFT(LOWER(LEFT($A191,FIND("|",$A191)-1)),2)),IFERROR(VALUE(LEFT(LOWER(LEFT($A191,FIND("|",$A191)-1)),1)),-1))),"0"))+1,99),LOWER(LEFT($A191,FIND("|",$A191)-1)))&amp;CHAR(9)&amp;TEXT(IF(SUBSTITUTE(MID($A191,FIND("|",$A191)+1,50),"'","")="",0,IFERROR(VALUE(SUBSTITUTE(MID($A191,FIND("|",$A191)+1,50),"'","")),999999)),"000000")&amp;CHAR(9)&amp;TEXT($B191,"0000"))</f>
        <v/>
      </c>
      <c r="E191" s="4">
        <f>IF($D191="","",SUMPRODUCT(($D$5:$D$364&lt;&gt;"")*($D$5:$D$364&lt;$D191))+1)</f>
        <v/>
      </c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70">
      <c r="A192" s="4">
        <f t="array" ref="A192">IF(N(INDIRECT("'Pull Sheet'!U14"))&gt;0,INDIRECT("'Pull Sheet'!S14")&amp;"|"&amp;INDIRECT("'Pull Sheet'!T14"),"")</f>
        <v/>
      </c>
      <c r="B192" s="4">
        <f>IF(AND($A192&lt;&gt;"",COUNTIF($A$5:$A192,$A192)=1),MAX($B$4:$B191)+1,"")</f>
        <v/>
      </c>
      <c r="C192" s="4">
        <f t="array" ref="C192">IF($A192="","",N(INDIRECT("'Pull Sheet'!U14")))</f>
        <v/>
      </c>
      <c r="D192" s="4">
        <f>IF($B192="","",IF(IFERROR(VALUE(LEFT(LOWER(LEFT($A192,FIND("|",$A192)-1)),3)),IFERROR(VALUE(LEFT(LOWER(LEFT($A192,FIND("|",$A192)-1)),2)),IFERROR(VALUE(LEFT(LOWER(LEFT($A192,FIND("|",$A192)-1)),1)),-1)))&gt;=0,TEXT(IFERROR(VALUE(LEFT(LOWER(LEFT($A192,FIND("|",$A192)-1)),3)),IFERROR(VALUE(LEFT(LOWER(LEFT($A192,FIND("|",$A192)-1)),2)),IFERROR(VALUE(LEFT(LOWER(LEFT($A192,FIND("|",$A192)-1)),1)),-1))),"000000")&amp;MID(LOWER(LEFT($A192,FIND("|",$A192)-1)),LEN(TEXT(IFERROR(VALUE(LEFT(LOWER(LEFT($A192,FIND("|",$A192)-1)),3)),IFERROR(VALUE(LEFT(LOWER(LEFT($A192,FIND("|",$A192)-1)),2)),IFERROR(VALUE(LEFT(LOWER(LEFT($A192,FIND("|",$A192)-1)),1)),-1))),"0"))+1,99),LOWER(LEFT($A192,FIND("|",$A192)-1)))&amp;CHAR(9)&amp;TEXT(IF(SUBSTITUTE(MID($A192,FIND("|",$A192)+1,50),"'","")="",0,IFERROR(VALUE(SUBSTITUTE(MID($A192,FIND("|",$A192)+1,50),"'","")),999999)),"000000")&amp;CHAR(9)&amp;TEXT($B192,"0000"))</f>
        <v/>
      </c>
      <c r="E192" s="4">
        <f>IF($D192="","",SUMPRODUCT(($D$5:$D$364&lt;&gt;"")*($D$5:$D$364&lt;$D192))+1)</f>
        <v/>
      </c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70">
      <c r="A193" s="4">
        <f t="array" ref="A193">IF(N(INDIRECT("'Pull Sheet'!U15"))&gt;0,INDIRECT("'Pull Sheet'!S15")&amp;"|"&amp;INDIRECT("'Pull Sheet'!T15"),"")</f>
        <v/>
      </c>
      <c r="B193" s="4">
        <f>IF(AND($A193&lt;&gt;"",COUNTIF($A$5:$A193,$A193)=1),MAX($B$4:$B192)+1,"")</f>
        <v/>
      </c>
      <c r="C193" s="4">
        <f t="array" ref="C193">IF($A193="","",N(INDIRECT("'Pull Sheet'!U15")))</f>
        <v/>
      </c>
      <c r="D193" s="4">
        <f>IF($B193="","",IF(IFERROR(VALUE(LEFT(LOWER(LEFT($A193,FIND("|",$A193)-1)),3)),IFERROR(VALUE(LEFT(LOWER(LEFT($A193,FIND("|",$A193)-1)),2)),IFERROR(VALUE(LEFT(LOWER(LEFT($A193,FIND("|",$A193)-1)),1)),-1)))&gt;=0,TEXT(IFERROR(VALUE(LEFT(LOWER(LEFT($A193,FIND("|",$A193)-1)),3)),IFERROR(VALUE(LEFT(LOWER(LEFT($A193,FIND("|",$A193)-1)),2)),IFERROR(VALUE(LEFT(LOWER(LEFT($A193,FIND("|",$A193)-1)),1)),-1))),"000000")&amp;MID(LOWER(LEFT($A193,FIND("|",$A193)-1)),LEN(TEXT(IFERROR(VALUE(LEFT(LOWER(LEFT($A193,FIND("|",$A193)-1)),3)),IFERROR(VALUE(LEFT(LOWER(LEFT($A193,FIND("|",$A193)-1)),2)),IFERROR(VALUE(LEFT(LOWER(LEFT($A193,FIND("|",$A193)-1)),1)),-1))),"0"))+1,99),LOWER(LEFT($A193,FIND("|",$A193)-1)))&amp;CHAR(9)&amp;TEXT(IF(SUBSTITUTE(MID($A193,FIND("|",$A193)+1,50),"'","")="",0,IFERROR(VALUE(SUBSTITUTE(MID($A193,FIND("|",$A193)+1,50),"'","")),999999)),"000000")&amp;CHAR(9)&amp;TEXT($B193,"0000"))</f>
        <v/>
      </c>
      <c r="E193" s="4">
        <f>IF($D193="","",SUMPRODUCT(($D$5:$D$364&lt;&gt;"")*($D$5:$D$364&lt;$D193))+1)</f>
        <v/>
      </c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70">
      <c r="A194" s="4">
        <f t="array" ref="A194">IF(N(INDIRECT("'Pull Sheet'!U16"))&gt;0,INDIRECT("'Pull Sheet'!S16")&amp;"|"&amp;INDIRECT("'Pull Sheet'!T16"),"")</f>
        <v/>
      </c>
      <c r="B194" s="4">
        <f>IF(AND($A194&lt;&gt;"",COUNTIF($A$5:$A194,$A194)=1),MAX($B$4:$B193)+1,"")</f>
        <v/>
      </c>
      <c r="C194" s="4">
        <f t="array" ref="C194">IF($A194="","",N(INDIRECT("'Pull Sheet'!U16")))</f>
        <v/>
      </c>
      <c r="D194" s="4">
        <f>IF($B194="","",IF(IFERROR(VALUE(LEFT(LOWER(LEFT($A194,FIND("|",$A194)-1)),3)),IFERROR(VALUE(LEFT(LOWER(LEFT($A194,FIND("|",$A194)-1)),2)),IFERROR(VALUE(LEFT(LOWER(LEFT($A194,FIND("|",$A194)-1)),1)),-1)))&gt;=0,TEXT(IFERROR(VALUE(LEFT(LOWER(LEFT($A194,FIND("|",$A194)-1)),3)),IFERROR(VALUE(LEFT(LOWER(LEFT($A194,FIND("|",$A194)-1)),2)),IFERROR(VALUE(LEFT(LOWER(LEFT($A194,FIND("|",$A194)-1)),1)),-1))),"000000")&amp;MID(LOWER(LEFT($A194,FIND("|",$A194)-1)),LEN(TEXT(IFERROR(VALUE(LEFT(LOWER(LEFT($A194,FIND("|",$A194)-1)),3)),IFERROR(VALUE(LEFT(LOWER(LEFT($A194,FIND("|",$A194)-1)),2)),IFERROR(VALUE(LEFT(LOWER(LEFT($A194,FIND("|",$A194)-1)),1)),-1))),"0"))+1,99),LOWER(LEFT($A194,FIND("|",$A194)-1)))&amp;CHAR(9)&amp;TEXT(IF(SUBSTITUTE(MID($A194,FIND("|",$A194)+1,50),"'","")="",0,IFERROR(VALUE(SUBSTITUTE(MID($A194,FIND("|",$A194)+1,50),"'","")),999999)),"000000")&amp;CHAR(9)&amp;TEXT($B194,"0000"))</f>
        <v/>
      </c>
      <c r="E194" s="4">
        <f>IF($D194="","",SUMPRODUCT(($D$5:$D$364&lt;&gt;"")*($D$5:$D$364&lt;$D194))+1)</f>
        <v/>
      </c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70">
      <c r="A195" s="4">
        <f t="array" ref="A195">IF(N(INDIRECT("'Pull Sheet'!U17"))&gt;0,INDIRECT("'Pull Sheet'!S17")&amp;"|"&amp;INDIRECT("'Pull Sheet'!T17"),"")</f>
        <v/>
      </c>
      <c r="B195" s="4">
        <f>IF(AND($A195&lt;&gt;"",COUNTIF($A$5:$A195,$A195)=1),MAX($B$4:$B194)+1,"")</f>
        <v/>
      </c>
      <c r="C195" s="4">
        <f t="array" ref="C195">IF($A195="","",N(INDIRECT("'Pull Sheet'!U17")))</f>
        <v/>
      </c>
      <c r="D195" s="4">
        <f>IF($B195="","",IF(IFERROR(VALUE(LEFT(LOWER(LEFT($A195,FIND("|",$A195)-1)),3)),IFERROR(VALUE(LEFT(LOWER(LEFT($A195,FIND("|",$A195)-1)),2)),IFERROR(VALUE(LEFT(LOWER(LEFT($A195,FIND("|",$A195)-1)),1)),-1)))&gt;=0,TEXT(IFERROR(VALUE(LEFT(LOWER(LEFT($A195,FIND("|",$A195)-1)),3)),IFERROR(VALUE(LEFT(LOWER(LEFT($A195,FIND("|",$A195)-1)),2)),IFERROR(VALUE(LEFT(LOWER(LEFT($A195,FIND("|",$A195)-1)),1)),-1))),"000000")&amp;MID(LOWER(LEFT($A195,FIND("|",$A195)-1)),LEN(TEXT(IFERROR(VALUE(LEFT(LOWER(LEFT($A195,FIND("|",$A195)-1)),3)),IFERROR(VALUE(LEFT(LOWER(LEFT($A195,FIND("|",$A195)-1)),2)),IFERROR(VALUE(LEFT(LOWER(LEFT($A195,FIND("|",$A195)-1)),1)),-1))),"0"))+1,99),LOWER(LEFT($A195,FIND("|",$A195)-1)))&amp;CHAR(9)&amp;TEXT(IF(SUBSTITUTE(MID($A195,FIND("|",$A195)+1,50),"'","")="",0,IFERROR(VALUE(SUBSTITUTE(MID($A195,FIND("|",$A195)+1,50),"'","")),999999)),"000000")&amp;CHAR(9)&amp;TEXT($B195,"0000"))</f>
        <v/>
      </c>
      <c r="E195" s="4">
        <f>IF($D195="","",SUMPRODUCT(($D$5:$D$364&lt;&gt;"")*($D$5:$D$364&lt;$D195))+1)</f>
        <v/>
      </c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70">
      <c r="A196" s="4">
        <f t="array" ref="A196">IF(N(INDIRECT("'Pull Sheet'!U18"))&gt;0,INDIRECT("'Pull Sheet'!S18")&amp;"|"&amp;INDIRECT("'Pull Sheet'!T18"),"")</f>
        <v/>
      </c>
      <c r="B196" s="4">
        <f>IF(AND($A196&lt;&gt;"",COUNTIF($A$5:$A196,$A196)=1),MAX($B$4:$B195)+1,"")</f>
        <v/>
      </c>
      <c r="C196" s="4">
        <f t="array" ref="C196">IF($A196="","",N(INDIRECT("'Pull Sheet'!U18")))</f>
        <v/>
      </c>
      <c r="D196" s="4">
        <f>IF($B196="","",IF(IFERROR(VALUE(LEFT(LOWER(LEFT($A196,FIND("|",$A196)-1)),3)),IFERROR(VALUE(LEFT(LOWER(LEFT($A196,FIND("|",$A196)-1)),2)),IFERROR(VALUE(LEFT(LOWER(LEFT($A196,FIND("|",$A196)-1)),1)),-1)))&gt;=0,TEXT(IFERROR(VALUE(LEFT(LOWER(LEFT($A196,FIND("|",$A196)-1)),3)),IFERROR(VALUE(LEFT(LOWER(LEFT($A196,FIND("|",$A196)-1)),2)),IFERROR(VALUE(LEFT(LOWER(LEFT($A196,FIND("|",$A196)-1)),1)),-1))),"000000")&amp;MID(LOWER(LEFT($A196,FIND("|",$A196)-1)),LEN(TEXT(IFERROR(VALUE(LEFT(LOWER(LEFT($A196,FIND("|",$A196)-1)),3)),IFERROR(VALUE(LEFT(LOWER(LEFT($A196,FIND("|",$A196)-1)),2)),IFERROR(VALUE(LEFT(LOWER(LEFT($A196,FIND("|",$A196)-1)),1)),-1))),"0"))+1,99),LOWER(LEFT($A196,FIND("|",$A196)-1)))&amp;CHAR(9)&amp;TEXT(IF(SUBSTITUTE(MID($A196,FIND("|",$A196)+1,50),"'","")="",0,IFERROR(VALUE(SUBSTITUTE(MID($A196,FIND("|",$A196)+1,50),"'","")),999999)),"000000")&amp;CHAR(9)&amp;TEXT($B196,"0000"))</f>
        <v/>
      </c>
      <c r="E196" s="4">
        <f>IF($D196="","",SUMPRODUCT(($D$5:$D$364&lt;&gt;"")*($D$5:$D$364&lt;$D196))+1)</f>
        <v/>
      </c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70">
      <c r="A197" s="4">
        <f t="array" ref="A197">IF(N(INDIRECT("'Pull Sheet'!U19"))&gt;0,INDIRECT("'Pull Sheet'!S19")&amp;"|"&amp;INDIRECT("'Pull Sheet'!T19"),"")</f>
        <v/>
      </c>
      <c r="B197" s="4">
        <f>IF(AND($A197&lt;&gt;"",COUNTIF($A$5:$A197,$A197)=1),MAX($B$4:$B196)+1,"")</f>
        <v/>
      </c>
      <c r="C197" s="4">
        <f t="array" ref="C197">IF($A197="","",N(INDIRECT("'Pull Sheet'!U19")))</f>
        <v/>
      </c>
      <c r="D197" s="4">
        <f>IF($B197="","",IF(IFERROR(VALUE(LEFT(LOWER(LEFT($A197,FIND("|",$A197)-1)),3)),IFERROR(VALUE(LEFT(LOWER(LEFT($A197,FIND("|",$A197)-1)),2)),IFERROR(VALUE(LEFT(LOWER(LEFT($A197,FIND("|",$A197)-1)),1)),-1)))&gt;=0,TEXT(IFERROR(VALUE(LEFT(LOWER(LEFT($A197,FIND("|",$A197)-1)),3)),IFERROR(VALUE(LEFT(LOWER(LEFT($A197,FIND("|",$A197)-1)),2)),IFERROR(VALUE(LEFT(LOWER(LEFT($A197,FIND("|",$A197)-1)),1)),-1))),"000000")&amp;MID(LOWER(LEFT($A197,FIND("|",$A197)-1)),LEN(TEXT(IFERROR(VALUE(LEFT(LOWER(LEFT($A197,FIND("|",$A197)-1)),3)),IFERROR(VALUE(LEFT(LOWER(LEFT($A197,FIND("|",$A197)-1)),2)),IFERROR(VALUE(LEFT(LOWER(LEFT($A197,FIND("|",$A197)-1)),1)),-1))),"0"))+1,99),LOWER(LEFT($A197,FIND("|",$A197)-1)))&amp;CHAR(9)&amp;TEXT(IF(SUBSTITUTE(MID($A197,FIND("|",$A197)+1,50),"'","")="",0,IFERROR(VALUE(SUBSTITUTE(MID($A197,FIND("|",$A197)+1,50),"'","")),999999)),"000000")&amp;CHAR(9)&amp;TEXT($B197,"0000"))</f>
        <v/>
      </c>
      <c r="E197" s="4">
        <f>IF($D197="","",SUMPRODUCT(($D$5:$D$364&lt;&gt;"")*($D$5:$D$364&lt;$D197))+1)</f>
        <v/>
      </c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70">
      <c r="A198" s="4">
        <f t="array" ref="A198">IF(N(INDIRECT("'Pull Sheet'!U20"))&gt;0,INDIRECT("'Pull Sheet'!S20")&amp;"|"&amp;INDIRECT("'Pull Sheet'!T20"),"")</f>
        <v/>
      </c>
      <c r="B198" s="4">
        <f>IF(AND($A198&lt;&gt;"",COUNTIF($A$5:$A198,$A198)=1),MAX($B$4:$B197)+1,"")</f>
        <v/>
      </c>
      <c r="C198" s="4">
        <f t="array" ref="C198">IF($A198="","",N(INDIRECT("'Pull Sheet'!U20")))</f>
        <v/>
      </c>
      <c r="D198" s="4">
        <f>IF($B198="","",IF(IFERROR(VALUE(LEFT(LOWER(LEFT($A198,FIND("|",$A198)-1)),3)),IFERROR(VALUE(LEFT(LOWER(LEFT($A198,FIND("|",$A198)-1)),2)),IFERROR(VALUE(LEFT(LOWER(LEFT($A198,FIND("|",$A198)-1)),1)),-1)))&gt;=0,TEXT(IFERROR(VALUE(LEFT(LOWER(LEFT($A198,FIND("|",$A198)-1)),3)),IFERROR(VALUE(LEFT(LOWER(LEFT($A198,FIND("|",$A198)-1)),2)),IFERROR(VALUE(LEFT(LOWER(LEFT($A198,FIND("|",$A198)-1)),1)),-1))),"000000")&amp;MID(LOWER(LEFT($A198,FIND("|",$A198)-1)),LEN(TEXT(IFERROR(VALUE(LEFT(LOWER(LEFT($A198,FIND("|",$A198)-1)),3)),IFERROR(VALUE(LEFT(LOWER(LEFT($A198,FIND("|",$A198)-1)),2)),IFERROR(VALUE(LEFT(LOWER(LEFT($A198,FIND("|",$A198)-1)),1)),-1))),"0"))+1,99),LOWER(LEFT($A198,FIND("|",$A198)-1)))&amp;CHAR(9)&amp;TEXT(IF(SUBSTITUTE(MID($A198,FIND("|",$A198)+1,50),"'","")="",0,IFERROR(VALUE(SUBSTITUTE(MID($A198,FIND("|",$A198)+1,50),"'","")),999999)),"000000")&amp;CHAR(9)&amp;TEXT($B198,"0000"))</f>
        <v/>
      </c>
      <c r="E198" s="4">
        <f>IF($D198="","",SUMPRODUCT(($D$5:$D$364&lt;&gt;"")*($D$5:$D$364&lt;$D198))+1)</f>
        <v/>
      </c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70">
      <c r="A199" s="4">
        <f t="array" ref="A199">IF(N(INDIRECT("'Pull Sheet'!U21"))&gt;0,INDIRECT("'Pull Sheet'!S21")&amp;"|"&amp;INDIRECT("'Pull Sheet'!T21"),"")</f>
        <v/>
      </c>
      <c r="B199" s="4">
        <f>IF(AND($A199&lt;&gt;"",COUNTIF($A$5:$A199,$A199)=1),MAX($B$4:$B198)+1,"")</f>
        <v/>
      </c>
      <c r="C199" s="4">
        <f t="array" ref="C199">IF($A199="","",N(INDIRECT("'Pull Sheet'!U21")))</f>
        <v/>
      </c>
      <c r="D199" s="4">
        <f>IF($B199="","",IF(IFERROR(VALUE(LEFT(LOWER(LEFT($A199,FIND("|",$A199)-1)),3)),IFERROR(VALUE(LEFT(LOWER(LEFT($A199,FIND("|",$A199)-1)),2)),IFERROR(VALUE(LEFT(LOWER(LEFT($A199,FIND("|",$A199)-1)),1)),-1)))&gt;=0,TEXT(IFERROR(VALUE(LEFT(LOWER(LEFT($A199,FIND("|",$A199)-1)),3)),IFERROR(VALUE(LEFT(LOWER(LEFT($A199,FIND("|",$A199)-1)),2)),IFERROR(VALUE(LEFT(LOWER(LEFT($A199,FIND("|",$A199)-1)),1)),-1))),"000000")&amp;MID(LOWER(LEFT($A199,FIND("|",$A199)-1)),LEN(TEXT(IFERROR(VALUE(LEFT(LOWER(LEFT($A199,FIND("|",$A199)-1)),3)),IFERROR(VALUE(LEFT(LOWER(LEFT($A199,FIND("|",$A199)-1)),2)),IFERROR(VALUE(LEFT(LOWER(LEFT($A199,FIND("|",$A199)-1)),1)),-1))),"0"))+1,99),LOWER(LEFT($A199,FIND("|",$A199)-1)))&amp;CHAR(9)&amp;TEXT(IF(SUBSTITUTE(MID($A199,FIND("|",$A199)+1,50),"'","")="",0,IFERROR(VALUE(SUBSTITUTE(MID($A199,FIND("|",$A199)+1,50),"'","")),999999)),"000000")&amp;CHAR(9)&amp;TEXT($B199,"0000"))</f>
        <v/>
      </c>
      <c r="E199" s="4">
        <f>IF($D199="","",SUMPRODUCT(($D$5:$D$364&lt;&gt;"")*($D$5:$D$364&lt;$D199))+1)</f>
        <v/>
      </c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70">
      <c r="A200" s="4">
        <f t="array" ref="A200">IF(N(INDIRECT("'Pull Sheet'!U22"))&gt;0,INDIRECT("'Pull Sheet'!S22")&amp;"|"&amp;INDIRECT("'Pull Sheet'!T22"),"")</f>
        <v/>
      </c>
      <c r="B200" s="4">
        <f>IF(AND($A200&lt;&gt;"",COUNTIF($A$5:$A200,$A200)=1),MAX($B$4:$B199)+1,"")</f>
        <v/>
      </c>
      <c r="C200" s="4">
        <f t="array" ref="C200">IF($A200="","",N(INDIRECT("'Pull Sheet'!U22")))</f>
        <v/>
      </c>
      <c r="D200" s="4">
        <f>IF($B200="","",IF(IFERROR(VALUE(LEFT(LOWER(LEFT($A200,FIND("|",$A200)-1)),3)),IFERROR(VALUE(LEFT(LOWER(LEFT($A200,FIND("|",$A200)-1)),2)),IFERROR(VALUE(LEFT(LOWER(LEFT($A200,FIND("|",$A200)-1)),1)),-1)))&gt;=0,TEXT(IFERROR(VALUE(LEFT(LOWER(LEFT($A200,FIND("|",$A200)-1)),3)),IFERROR(VALUE(LEFT(LOWER(LEFT($A200,FIND("|",$A200)-1)),2)),IFERROR(VALUE(LEFT(LOWER(LEFT($A200,FIND("|",$A200)-1)),1)),-1))),"000000")&amp;MID(LOWER(LEFT($A200,FIND("|",$A200)-1)),LEN(TEXT(IFERROR(VALUE(LEFT(LOWER(LEFT($A200,FIND("|",$A200)-1)),3)),IFERROR(VALUE(LEFT(LOWER(LEFT($A200,FIND("|",$A200)-1)),2)),IFERROR(VALUE(LEFT(LOWER(LEFT($A200,FIND("|",$A200)-1)),1)),-1))),"0"))+1,99),LOWER(LEFT($A200,FIND("|",$A200)-1)))&amp;CHAR(9)&amp;TEXT(IF(SUBSTITUTE(MID($A200,FIND("|",$A200)+1,50),"'","")="",0,IFERROR(VALUE(SUBSTITUTE(MID($A200,FIND("|",$A200)+1,50),"'","")),999999)),"000000")&amp;CHAR(9)&amp;TEXT($B200,"0000"))</f>
        <v/>
      </c>
      <c r="E200" s="4">
        <f>IF($D200="","",SUMPRODUCT(($D$5:$D$364&lt;&gt;"")*($D$5:$D$364&lt;$D200))+1)</f>
        <v/>
      </c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70">
      <c r="A201" s="4">
        <f t="array" ref="A201">IF(N(INDIRECT("'Pull Sheet'!U23"))&gt;0,INDIRECT("'Pull Sheet'!S23")&amp;"|"&amp;INDIRECT("'Pull Sheet'!T23"),"")</f>
        <v/>
      </c>
      <c r="B201" s="4">
        <f>IF(AND($A201&lt;&gt;"",COUNTIF($A$5:$A201,$A201)=1),MAX($B$4:$B200)+1,"")</f>
        <v/>
      </c>
      <c r="C201" s="4">
        <f t="array" ref="C201">IF($A201="","",N(INDIRECT("'Pull Sheet'!U23")))</f>
        <v/>
      </c>
      <c r="D201" s="4">
        <f>IF($B201="","",IF(IFERROR(VALUE(LEFT(LOWER(LEFT($A201,FIND("|",$A201)-1)),3)),IFERROR(VALUE(LEFT(LOWER(LEFT($A201,FIND("|",$A201)-1)),2)),IFERROR(VALUE(LEFT(LOWER(LEFT($A201,FIND("|",$A201)-1)),1)),-1)))&gt;=0,TEXT(IFERROR(VALUE(LEFT(LOWER(LEFT($A201,FIND("|",$A201)-1)),3)),IFERROR(VALUE(LEFT(LOWER(LEFT($A201,FIND("|",$A201)-1)),2)),IFERROR(VALUE(LEFT(LOWER(LEFT($A201,FIND("|",$A201)-1)),1)),-1))),"000000")&amp;MID(LOWER(LEFT($A201,FIND("|",$A201)-1)),LEN(TEXT(IFERROR(VALUE(LEFT(LOWER(LEFT($A201,FIND("|",$A201)-1)),3)),IFERROR(VALUE(LEFT(LOWER(LEFT($A201,FIND("|",$A201)-1)),2)),IFERROR(VALUE(LEFT(LOWER(LEFT($A201,FIND("|",$A201)-1)),1)),-1))),"0"))+1,99),LOWER(LEFT($A201,FIND("|",$A201)-1)))&amp;CHAR(9)&amp;TEXT(IF(SUBSTITUTE(MID($A201,FIND("|",$A201)+1,50),"'","")="",0,IFERROR(VALUE(SUBSTITUTE(MID($A201,FIND("|",$A201)+1,50),"'","")),999999)),"000000")&amp;CHAR(9)&amp;TEXT($B201,"0000"))</f>
        <v/>
      </c>
      <c r="E201" s="4">
        <f>IF($D201="","",SUMPRODUCT(($D$5:$D$364&lt;&gt;"")*($D$5:$D$364&lt;$D201))+1)</f>
        <v/>
      </c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70">
      <c r="A202" s="4">
        <f t="array" ref="A202">IF(N(INDIRECT("'Pull Sheet'!U24"))&gt;0,INDIRECT("'Pull Sheet'!S24")&amp;"|"&amp;INDIRECT("'Pull Sheet'!T24"),"")</f>
        <v/>
      </c>
      <c r="B202" s="4">
        <f>IF(AND($A202&lt;&gt;"",COUNTIF($A$5:$A202,$A202)=1),MAX($B$4:$B201)+1,"")</f>
        <v/>
      </c>
      <c r="C202" s="4">
        <f t="array" ref="C202">IF($A202="","",N(INDIRECT("'Pull Sheet'!U24")))</f>
        <v/>
      </c>
      <c r="D202" s="4">
        <f>IF($B202="","",IF(IFERROR(VALUE(LEFT(LOWER(LEFT($A202,FIND("|",$A202)-1)),3)),IFERROR(VALUE(LEFT(LOWER(LEFT($A202,FIND("|",$A202)-1)),2)),IFERROR(VALUE(LEFT(LOWER(LEFT($A202,FIND("|",$A202)-1)),1)),-1)))&gt;=0,TEXT(IFERROR(VALUE(LEFT(LOWER(LEFT($A202,FIND("|",$A202)-1)),3)),IFERROR(VALUE(LEFT(LOWER(LEFT($A202,FIND("|",$A202)-1)),2)),IFERROR(VALUE(LEFT(LOWER(LEFT($A202,FIND("|",$A202)-1)),1)),-1))),"000000")&amp;MID(LOWER(LEFT($A202,FIND("|",$A202)-1)),LEN(TEXT(IFERROR(VALUE(LEFT(LOWER(LEFT($A202,FIND("|",$A202)-1)),3)),IFERROR(VALUE(LEFT(LOWER(LEFT($A202,FIND("|",$A202)-1)),2)),IFERROR(VALUE(LEFT(LOWER(LEFT($A202,FIND("|",$A202)-1)),1)),-1))),"0"))+1,99),LOWER(LEFT($A202,FIND("|",$A202)-1)))&amp;CHAR(9)&amp;TEXT(IF(SUBSTITUTE(MID($A202,FIND("|",$A202)+1,50),"'","")="",0,IFERROR(VALUE(SUBSTITUTE(MID($A202,FIND("|",$A202)+1,50),"'","")),999999)),"000000")&amp;CHAR(9)&amp;TEXT($B202,"0000"))</f>
        <v/>
      </c>
      <c r="E202" s="4">
        <f>IF($D202="","",SUMPRODUCT(($D$5:$D$364&lt;&gt;"")*($D$5:$D$364&lt;$D202))+1)</f>
        <v/>
      </c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70">
      <c r="A203" s="4">
        <f t="array" ref="A203">IF(N(INDIRECT("'Pull Sheet'!U25"))&gt;0,INDIRECT("'Pull Sheet'!S25")&amp;"|"&amp;INDIRECT("'Pull Sheet'!T25"),"")</f>
        <v/>
      </c>
      <c r="B203" s="4">
        <f>IF(AND($A203&lt;&gt;"",COUNTIF($A$5:$A203,$A203)=1),MAX($B$4:$B202)+1,"")</f>
        <v/>
      </c>
      <c r="C203" s="4">
        <f t="array" ref="C203">IF($A203="","",N(INDIRECT("'Pull Sheet'!U25")))</f>
        <v/>
      </c>
      <c r="D203" s="4">
        <f>IF($B203="","",IF(IFERROR(VALUE(LEFT(LOWER(LEFT($A203,FIND("|",$A203)-1)),3)),IFERROR(VALUE(LEFT(LOWER(LEFT($A203,FIND("|",$A203)-1)),2)),IFERROR(VALUE(LEFT(LOWER(LEFT($A203,FIND("|",$A203)-1)),1)),-1)))&gt;=0,TEXT(IFERROR(VALUE(LEFT(LOWER(LEFT($A203,FIND("|",$A203)-1)),3)),IFERROR(VALUE(LEFT(LOWER(LEFT($A203,FIND("|",$A203)-1)),2)),IFERROR(VALUE(LEFT(LOWER(LEFT($A203,FIND("|",$A203)-1)),1)),-1))),"000000")&amp;MID(LOWER(LEFT($A203,FIND("|",$A203)-1)),LEN(TEXT(IFERROR(VALUE(LEFT(LOWER(LEFT($A203,FIND("|",$A203)-1)),3)),IFERROR(VALUE(LEFT(LOWER(LEFT($A203,FIND("|",$A203)-1)),2)),IFERROR(VALUE(LEFT(LOWER(LEFT($A203,FIND("|",$A203)-1)),1)),-1))),"0"))+1,99),LOWER(LEFT($A203,FIND("|",$A203)-1)))&amp;CHAR(9)&amp;TEXT(IF(SUBSTITUTE(MID($A203,FIND("|",$A203)+1,50),"'","")="",0,IFERROR(VALUE(SUBSTITUTE(MID($A203,FIND("|",$A203)+1,50),"'","")),999999)),"000000")&amp;CHAR(9)&amp;TEXT($B203,"0000"))</f>
        <v/>
      </c>
      <c r="E203" s="4">
        <f>IF($D203="","",SUMPRODUCT(($D$5:$D$364&lt;&gt;"")*($D$5:$D$364&lt;$D203))+1)</f>
        <v/>
      </c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70">
      <c r="A204" s="4">
        <f t="array" ref="A204">IF(N(INDIRECT("'Pull Sheet'!U26"))&gt;0,INDIRECT("'Pull Sheet'!S26")&amp;"|"&amp;INDIRECT("'Pull Sheet'!T26"),"")</f>
        <v/>
      </c>
      <c r="B204" s="4">
        <f>IF(AND($A204&lt;&gt;"",COUNTIF($A$5:$A204,$A204)=1),MAX($B$4:$B203)+1,"")</f>
        <v/>
      </c>
      <c r="C204" s="4">
        <f t="array" ref="C204">IF($A204="","",N(INDIRECT("'Pull Sheet'!U26")))</f>
        <v/>
      </c>
      <c r="D204" s="4">
        <f>IF($B204="","",IF(IFERROR(VALUE(LEFT(LOWER(LEFT($A204,FIND("|",$A204)-1)),3)),IFERROR(VALUE(LEFT(LOWER(LEFT($A204,FIND("|",$A204)-1)),2)),IFERROR(VALUE(LEFT(LOWER(LEFT($A204,FIND("|",$A204)-1)),1)),-1)))&gt;=0,TEXT(IFERROR(VALUE(LEFT(LOWER(LEFT($A204,FIND("|",$A204)-1)),3)),IFERROR(VALUE(LEFT(LOWER(LEFT($A204,FIND("|",$A204)-1)),2)),IFERROR(VALUE(LEFT(LOWER(LEFT($A204,FIND("|",$A204)-1)),1)),-1))),"000000")&amp;MID(LOWER(LEFT($A204,FIND("|",$A204)-1)),LEN(TEXT(IFERROR(VALUE(LEFT(LOWER(LEFT($A204,FIND("|",$A204)-1)),3)),IFERROR(VALUE(LEFT(LOWER(LEFT($A204,FIND("|",$A204)-1)),2)),IFERROR(VALUE(LEFT(LOWER(LEFT($A204,FIND("|",$A204)-1)),1)),-1))),"0"))+1,99),LOWER(LEFT($A204,FIND("|",$A204)-1)))&amp;CHAR(9)&amp;TEXT(IF(SUBSTITUTE(MID($A204,FIND("|",$A204)+1,50),"'","")="",0,IFERROR(VALUE(SUBSTITUTE(MID($A204,FIND("|",$A204)+1,50),"'","")),999999)),"000000")&amp;CHAR(9)&amp;TEXT($B204,"0000"))</f>
        <v/>
      </c>
      <c r="E204" s="4">
        <f>IF($D204="","",SUMPRODUCT(($D$5:$D$364&lt;&gt;"")*($D$5:$D$364&lt;$D204))+1)</f>
        <v/>
      </c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70">
      <c r="A205" s="4">
        <f t="array" ref="A205">IF(N(INDIRECT("'Pull Sheet'!U27"))&gt;0,INDIRECT("'Pull Sheet'!S27")&amp;"|"&amp;INDIRECT("'Pull Sheet'!T27"),"")</f>
        <v/>
      </c>
      <c r="B205" s="4">
        <f>IF(AND($A205&lt;&gt;"",COUNTIF($A$5:$A205,$A205)=1),MAX($B$4:$B204)+1,"")</f>
        <v/>
      </c>
      <c r="C205" s="4">
        <f t="array" ref="C205">IF($A205="","",N(INDIRECT("'Pull Sheet'!U27")))</f>
        <v/>
      </c>
      <c r="D205" s="4">
        <f>IF($B205="","",IF(IFERROR(VALUE(LEFT(LOWER(LEFT($A205,FIND("|",$A205)-1)),3)),IFERROR(VALUE(LEFT(LOWER(LEFT($A205,FIND("|",$A205)-1)),2)),IFERROR(VALUE(LEFT(LOWER(LEFT($A205,FIND("|",$A205)-1)),1)),-1)))&gt;=0,TEXT(IFERROR(VALUE(LEFT(LOWER(LEFT($A205,FIND("|",$A205)-1)),3)),IFERROR(VALUE(LEFT(LOWER(LEFT($A205,FIND("|",$A205)-1)),2)),IFERROR(VALUE(LEFT(LOWER(LEFT($A205,FIND("|",$A205)-1)),1)),-1))),"000000")&amp;MID(LOWER(LEFT($A205,FIND("|",$A205)-1)),LEN(TEXT(IFERROR(VALUE(LEFT(LOWER(LEFT($A205,FIND("|",$A205)-1)),3)),IFERROR(VALUE(LEFT(LOWER(LEFT($A205,FIND("|",$A205)-1)),2)),IFERROR(VALUE(LEFT(LOWER(LEFT($A205,FIND("|",$A205)-1)),1)),-1))),"0"))+1,99),LOWER(LEFT($A205,FIND("|",$A205)-1)))&amp;CHAR(9)&amp;TEXT(IF(SUBSTITUTE(MID($A205,FIND("|",$A205)+1,50),"'","")="",0,IFERROR(VALUE(SUBSTITUTE(MID($A205,FIND("|",$A205)+1,50),"'","")),999999)),"000000")&amp;CHAR(9)&amp;TEXT($B205,"0000"))</f>
        <v/>
      </c>
      <c r="E205" s="4">
        <f>IF($D205="","",SUMPRODUCT(($D$5:$D$364&lt;&gt;"")*($D$5:$D$364&lt;$D205))+1)</f>
        <v/>
      </c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70">
      <c r="A206" s="4">
        <f t="array" ref="A206">IF(N(INDIRECT("'Pull Sheet'!U28"))&gt;0,INDIRECT("'Pull Sheet'!S28")&amp;"|"&amp;INDIRECT("'Pull Sheet'!T28"),"")</f>
        <v/>
      </c>
      <c r="B206" s="4">
        <f>IF(AND($A206&lt;&gt;"",COUNTIF($A$5:$A206,$A206)=1),MAX($B$4:$B205)+1,"")</f>
        <v/>
      </c>
      <c r="C206" s="4">
        <f t="array" ref="C206">IF($A206="","",N(INDIRECT("'Pull Sheet'!U28")))</f>
        <v/>
      </c>
      <c r="D206" s="4">
        <f>IF($B206="","",IF(IFERROR(VALUE(LEFT(LOWER(LEFT($A206,FIND("|",$A206)-1)),3)),IFERROR(VALUE(LEFT(LOWER(LEFT($A206,FIND("|",$A206)-1)),2)),IFERROR(VALUE(LEFT(LOWER(LEFT($A206,FIND("|",$A206)-1)),1)),-1)))&gt;=0,TEXT(IFERROR(VALUE(LEFT(LOWER(LEFT($A206,FIND("|",$A206)-1)),3)),IFERROR(VALUE(LEFT(LOWER(LEFT($A206,FIND("|",$A206)-1)),2)),IFERROR(VALUE(LEFT(LOWER(LEFT($A206,FIND("|",$A206)-1)),1)),-1))),"000000")&amp;MID(LOWER(LEFT($A206,FIND("|",$A206)-1)),LEN(TEXT(IFERROR(VALUE(LEFT(LOWER(LEFT($A206,FIND("|",$A206)-1)),3)),IFERROR(VALUE(LEFT(LOWER(LEFT($A206,FIND("|",$A206)-1)),2)),IFERROR(VALUE(LEFT(LOWER(LEFT($A206,FIND("|",$A206)-1)),1)),-1))),"0"))+1,99),LOWER(LEFT($A206,FIND("|",$A206)-1)))&amp;CHAR(9)&amp;TEXT(IF(SUBSTITUTE(MID($A206,FIND("|",$A206)+1,50),"'","")="",0,IFERROR(VALUE(SUBSTITUTE(MID($A206,FIND("|",$A206)+1,50),"'","")),999999)),"000000")&amp;CHAR(9)&amp;TEXT($B206,"0000"))</f>
        <v/>
      </c>
      <c r="E206" s="4">
        <f>IF($D206="","",SUMPRODUCT(($D$5:$D$364&lt;&gt;"")*($D$5:$D$364&lt;$D206))+1)</f>
        <v/>
      </c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70">
      <c r="A207" s="4">
        <f t="array" ref="A207">IF(N(INDIRECT("'Pull Sheet'!U29"))&gt;0,INDIRECT("'Pull Sheet'!S29")&amp;"|"&amp;INDIRECT("'Pull Sheet'!T29"),"")</f>
        <v/>
      </c>
      <c r="B207" s="4">
        <f>IF(AND($A207&lt;&gt;"",COUNTIF($A$5:$A207,$A207)=1),MAX($B$4:$B206)+1,"")</f>
        <v/>
      </c>
      <c r="C207" s="4">
        <f t="array" ref="C207">IF($A207="","",N(INDIRECT("'Pull Sheet'!U29")))</f>
        <v/>
      </c>
      <c r="D207" s="4">
        <f>IF($B207="","",IF(IFERROR(VALUE(LEFT(LOWER(LEFT($A207,FIND("|",$A207)-1)),3)),IFERROR(VALUE(LEFT(LOWER(LEFT($A207,FIND("|",$A207)-1)),2)),IFERROR(VALUE(LEFT(LOWER(LEFT($A207,FIND("|",$A207)-1)),1)),-1)))&gt;=0,TEXT(IFERROR(VALUE(LEFT(LOWER(LEFT($A207,FIND("|",$A207)-1)),3)),IFERROR(VALUE(LEFT(LOWER(LEFT($A207,FIND("|",$A207)-1)),2)),IFERROR(VALUE(LEFT(LOWER(LEFT($A207,FIND("|",$A207)-1)),1)),-1))),"000000")&amp;MID(LOWER(LEFT($A207,FIND("|",$A207)-1)),LEN(TEXT(IFERROR(VALUE(LEFT(LOWER(LEFT($A207,FIND("|",$A207)-1)),3)),IFERROR(VALUE(LEFT(LOWER(LEFT($A207,FIND("|",$A207)-1)),2)),IFERROR(VALUE(LEFT(LOWER(LEFT($A207,FIND("|",$A207)-1)),1)),-1))),"0"))+1,99),LOWER(LEFT($A207,FIND("|",$A207)-1)))&amp;CHAR(9)&amp;TEXT(IF(SUBSTITUTE(MID($A207,FIND("|",$A207)+1,50),"'","")="",0,IFERROR(VALUE(SUBSTITUTE(MID($A207,FIND("|",$A207)+1,50),"'","")),999999)),"000000")&amp;CHAR(9)&amp;TEXT($B207,"0000"))</f>
        <v/>
      </c>
      <c r="E207" s="4">
        <f>IF($D207="","",SUMPRODUCT(($D$5:$D$364&lt;&gt;"")*($D$5:$D$364&lt;$D207))+1)</f>
        <v/>
      </c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70">
      <c r="A208" s="4">
        <f t="array" ref="A208">IF(N(INDIRECT("'Pull Sheet'!U30"))&gt;0,INDIRECT("'Pull Sheet'!S30")&amp;"|"&amp;INDIRECT("'Pull Sheet'!T30"),"")</f>
        <v/>
      </c>
      <c r="B208" s="4">
        <f>IF(AND($A208&lt;&gt;"",COUNTIF($A$5:$A208,$A208)=1),MAX($B$4:$B207)+1,"")</f>
        <v/>
      </c>
      <c r="C208" s="4">
        <f t="array" ref="C208">IF($A208="","",N(INDIRECT("'Pull Sheet'!U30")))</f>
        <v/>
      </c>
      <c r="D208" s="4">
        <f>IF($B208="","",IF(IFERROR(VALUE(LEFT(LOWER(LEFT($A208,FIND("|",$A208)-1)),3)),IFERROR(VALUE(LEFT(LOWER(LEFT($A208,FIND("|",$A208)-1)),2)),IFERROR(VALUE(LEFT(LOWER(LEFT($A208,FIND("|",$A208)-1)),1)),-1)))&gt;=0,TEXT(IFERROR(VALUE(LEFT(LOWER(LEFT($A208,FIND("|",$A208)-1)),3)),IFERROR(VALUE(LEFT(LOWER(LEFT($A208,FIND("|",$A208)-1)),2)),IFERROR(VALUE(LEFT(LOWER(LEFT($A208,FIND("|",$A208)-1)),1)),-1))),"000000")&amp;MID(LOWER(LEFT($A208,FIND("|",$A208)-1)),LEN(TEXT(IFERROR(VALUE(LEFT(LOWER(LEFT($A208,FIND("|",$A208)-1)),3)),IFERROR(VALUE(LEFT(LOWER(LEFT($A208,FIND("|",$A208)-1)),2)),IFERROR(VALUE(LEFT(LOWER(LEFT($A208,FIND("|",$A208)-1)),1)),-1))),"0"))+1,99),LOWER(LEFT($A208,FIND("|",$A208)-1)))&amp;CHAR(9)&amp;TEXT(IF(SUBSTITUTE(MID($A208,FIND("|",$A208)+1,50),"'","")="",0,IFERROR(VALUE(SUBSTITUTE(MID($A208,FIND("|",$A208)+1,50),"'","")),999999)),"000000")&amp;CHAR(9)&amp;TEXT($B208,"0000"))</f>
        <v/>
      </c>
      <c r="E208" s="4">
        <f>IF($D208="","",SUMPRODUCT(($D$5:$D$364&lt;&gt;"")*($D$5:$D$364&lt;$D208))+1)</f>
        <v/>
      </c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70">
      <c r="A209" s="4">
        <f t="array" ref="A209">IF(N(INDIRECT("'Pull Sheet'!U31"))&gt;0,INDIRECT("'Pull Sheet'!S31")&amp;"|"&amp;INDIRECT("'Pull Sheet'!T31"),"")</f>
        <v/>
      </c>
      <c r="B209" s="4">
        <f>IF(AND($A209&lt;&gt;"",COUNTIF($A$5:$A209,$A209)=1),MAX($B$4:$B208)+1,"")</f>
        <v/>
      </c>
      <c r="C209" s="4">
        <f t="array" ref="C209">IF($A209="","",N(INDIRECT("'Pull Sheet'!U31")))</f>
        <v/>
      </c>
      <c r="D209" s="4">
        <f>IF($B209="","",IF(IFERROR(VALUE(LEFT(LOWER(LEFT($A209,FIND("|",$A209)-1)),3)),IFERROR(VALUE(LEFT(LOWER(LEFT($A209,FIND("|",$A209)-1)),2)),IFERROR(VALUE(LEFT(LOWER(LEFT($A209,FIND("|",$A209)-1)),1)),-1)))&gt;=0,TEXT(IFERROR(VALUE(LEFT(LOWER(LEFT($A209,FIND("|",$A209)-1)),3)),IFERROR(VALUE(LEFT(LOWER(LEFT($A209,FIND("|",$A209)-1)),2)),IFERROR(VALUE(LEFT(LOWER(LEFT($A209,FIND("|",$A209)-1)),1)),-1))),"000000")&amp;MID(LOWER(LEFT($A209,FIND("|",$A209)-1)),LEN(TEXT(IFERROR(VALUE(LEFT(LOWER(LEFT($A209,FIND("|",$A209)-1)),3)),IFERROR(VALUE(LEFT(LOWER(LEFT($A209,FIND("|",$A209)-1)),2)),IFERROR(VALUE(LEFT(LOWER(LEFT($A209,FIND("|",$A209)-1)),1)),-1))),"0"))+1,99),LOWER(LEFT($A209,FIND("|",$A209)-1)))&amp;CHAR(9)&amp;TEXT(IF(SUBSTITUTE(MID($A209,FIND("|",$A209)+1,50),"'","")="",0,IFERROR(VALUE(SUBSTITUTE(MID($A209,FIND("|",$A209)+1,50),"'","")),999999)),"000000")&amp;CHAR(9)&amp;TEXT($B209,"0000"))</f>
        <v/>
      </c>
      <c r="E209" s="4">
        <f>IF($D209="","",SUMPRODUCT(($D$5:$D$364&lt;&gt;"")*($D$5:$D$364&lt;$D209))+1)</f>
        <v/>
      </c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70">
      <c r="A210" s="4">
        <f t="array" ref="A210">IF(N(INDIRECT("'Pull Sheet'!U32"))&gt;0,INDIRECT("'Pull Sheet'!S32")&amp;"|"&amp;INDIRECT("'Pull Sheet'!T32"),"")</f>
        <v/>
      </c>
      <c r="B210" s="4">
        <f>IF(AND($A210&lt;&gt;"",COUNTIF($A$5:$A210,$A210)=1),MAX($B$4:$B209)+1,"")</f>
        <v/>
      </c>
      <c r="C210" s="4">
        <f t="array" ref="C210">IF($A210="","",N(INDIRECT("'Pull Sheet'!U32")))</f>
        <v/>
      </c>
      <c r="D210" s="4">
        <f>IF($B210="","",IF(IFERROR(VALUE(LEFT(LOWER(LEFT($A210,FIND("|",$A210)-1)),3)),IFERROR(VALUE(LEFT(LOWER(LEFT($A210,FIND("|",$A210)-1)),2)),IFERROR(VALUE(LEFT(LOWER(LEFT($A210,FIND("|",$A210)-1)),1)),-1)))&gt;=0,TEXT(IFERROR(VALUE(LEFT(LOWER(LEFT($A210,FIND("|",$A210)-1)),3)),IFERROR(VALUE(LEFT(LOWER(LEFT($A210,FIND("|",$A210)-1)),2)),IFERROR(VALUE(LEFT(LOWER(LEFT($A210,FIND("|",$A210)-1)),1)),-1))),"000000")&amp;MID(LOWER(LEFT($A210,FIND("|",$A210)-1)),LEN(TEXT(IFERROR(VALUE(LEFT(LOWER(LEFT($A210,FIND("|",$A210)-1)),3)),IFERROR(VALUE(LEFT(LOWER(LEFT($A210,FIND("|",$A210)-1)),2)),IFERROR(VALUE(LEFT(LOWER(LEFT($A210,FIND("|",$A210)-1)),1)),-1))),"0"))+1,99),LOWER(LEFT($A210,FIND("|",$A210)-1)))&amp;CHAR(9)&amp;TEXT(IF(SUBSTITUTE(MID($A210,FIND("|",$A210)+1,50),"'","")="",0,IFERROR(VALUE(SUBSTITUTE(MID($A210,FIND("|",$A210)+1,50),"'","")),999999)),"000000")&amp;CHAR(9)&amp;TEXT($B210,"0000"))</f>
        <v/>
      </c>
      <c r="E210" s="4">
        <f>IF($D210="","",SUMPRODUCT(($D$5:$D$364&lt;&gt;"")*($D$5:$D$364&lt;$D210))+1)</f>
        <v/>
      </c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70">
      <c r="A211" s="4">
        <f t="array" ref="A211">IF(N(INDIRECT("'Pull Sheet'!U33"))&gt;0,INDIRECT("'Pull Sheet'!S33")&amp;"|"&amp;INDIRECT("'Pull Sheet'!T33"),"")</f>
        <v/>
      </c>
      <c r="B211" s="4">
        <f>IF(AND($A211&lt;&gt;"",COUNTIF($A$5:$A211,$A211)=1),MAX($B$4:$B210)+1,"")</f>
        <v/>
      </c>
      <c r="C211" s="4">
        <f t="array" ref="C211">IF($A211="","",N(INDIRECT("'Pull Sheet'!U33")))</f>
        <v/>
      </c>
      <c r="D211" s="4">
        <f>IF($B211="","",IF(IFERROR(VALUE(LEFT(LOWER(LEFT($A211,FIND("|",$A211)-1)),3)),IFERROR(VALUE(LEFT(LOWER(LEFT($A211,FIND("|",$A211)-1)),2)),IFERROR(VALUE(LEFT(LOWER(LEFT($A211,FIND("|",$A211)-1)),1)),-1)))&gt;=0,TEXT(IFERROR(VALUE(LEFT(LOWER(LEFT($A211,FIND("|",$A211)-1)),3)),IFERROR(VALUE(LEFT(LOWER(LEFT($A211,FIND("|",$A211)-1)),2)),IFERROR(VALUE(LEFT(LOWER(LEFT($A211,FIND("|",$A211)-1)),1)),-1))),"000000")&amp;MID(LOWER(LEFT($A211,FIND("|",$A211)-1)),LEN(TEXT(IFERROR(VALUE(LEFT(LOWER(LEFT($A211,FIND("|",$A211)-1)),3)),IFERROR(VALUE(LEFT(LOWER(LEFT($A211,FIND("|",$A211)-1)),2)),IFERROR(VALUE(LEFT(LOWER(LEFT($A211,FIND("|",$A211)-1)),1)),-1))),"0"))+1,99),LOWER(LEFT($A211,FIND("|",$A211)-1)))&amp;CHAR(9)&amp;TEXT(IF(SUBSTITUTE(MID($A211,FIND("|",$A211)+1,50),"'","")="",0,IFERROR(VALUE(SUBSTITUTE(MID($A211,FIND("|",$A211)+1,50),"'","")),999999)),"000000")&amp;CHAR(9)&amp;TEXT($B211,"0000"))</f>
        <v/>
      </c>
      <c r="E211" s="4">
        <f>IF($D211="","",SUMPRODUCT(($D$5:$D$364&lt;&gt;"")*($D$5:$D$364&lt;$D211))+1)</f>
        <v/>
      </c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70">
      <c r="A212" s="4">
        <f t="array" ref="A212">IF(N(INDIRECT("'Pull Sheet'!U34"))&gt;0,INDIRECT("'Pull Sheet'!S34")&amp;"|"&amp;INDIRECT("'Pull Sheet'!T34"),"")</f>
        <v/>
      </c>
      <c r="B212" s="4">
        <f>IF(AND($A212&lt;&gt;"",COUNTIF($A$5:$A212,$A212)=1),MAX($B$4:$B211)+1,"")</f>
        <v/>
      </c>
      <c r="C212" s="4">
        <f t="array" ref="C212">IF($A212="","",N(INDIRECT("'Pull Sheet'!U34")))</f>
        <v/>
      </c>
      <c r="D212" s="4">
        <f>IF($B212="","",IF(IFERROR(VALUE(LEFT(LOWER(LEFT($A212,FIND("|",$A212)-1)),3)),IFERROR(VALUE(LEFT(LOWER(LEFT($A212,FIND("|",$A212)-1)),2)),IFERROR(VALUE(LEFT(LOWER(LEFT($A212,FIND("|",$A212)-1)),1)),-1)))&gt;=0,TEXT(IFERROR(VALUE(LEFT(LOWER(LEFT($A212,FIND("|",$A212)-1)),3)),IFERROR(VALUE(LEFT(LOWER(LEFT($A212,FIND("|",$A212)-1)),2)),IFERROR(VALUE(LEFT(LOWER(LEFT($A212,FIND("|",$A212)-1)),1)),-1))),"000000")&amp;MID(LOWER(LEFT($A212,FIND("|",$A212)-1)),LEN(TEXT(IFERROR(VALUE(LEFT(LOWER(LEFT($A212,FIND("|",$A212)-1)),3)),IFERROR(VALUE(LEFT(LOWER(LEFT($A212,FIND("|",$A212)-1)),2)),IFERROR(VALUE(LEFT(LOWER(LEFT($A212,FIND("|",$A212)-1)),1)),-1))),"0"))+1,99),LOWER(LEFT($A212,FIND("|",$A212)-1)))&amp;CHAR(9)&amp;TEXT(IF(SUBSTITUTE(MID($A212,FIND("|",$A212)+1,50),"'","")="",0,IFERROR(VALUE(SUBSTITUTE(MID($A212,FIND("|",$A212)+1,50),"'","")),999999)),"000000")&amp;CHAR(9)&amp;TEXT($B212,"0000"))</f>
        <v/>
      </c>
      <c r="E212" s="4">
        <f>IF($D212="","",SUMPRODUCT(($D$5:$D$364&lt;&gt;"")*($D$5:$D$364&lt;$D212))+1)</f>
        <v/>
      </c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70">
      <c r="A213" s="4">
        <f t="array" ref="A213">IF(N(INDIRECT("'Pull Sheet'!U35"))&gt;0,INDIRECT("'Pull Sheet'!S35")&amp;"|"&amp;INDIRECT("'Pull Sheet'!T35"),"")</f>
        <v/>
      </c>
      <c r="B213" s="4">
        <f>IF(AND($A213&lt;&gt;"",COUNTIF($A$5:$A213,$A213)=1),MAX($B$4:$B212)+1,"")</f>
        <v/>
      </c>
      <c r="C213" s="4">
        <f t="array" ref="C213">IF($A213="","",N(INDIRECT("'Pull Sheet'!U35")))</f>
        <v/>
      </c>
      <c r="D213" s="4">
        <f>IF($B213="","",IF(IFERROR(VALUE(LEFT(LOWER(LEFT($A213,FIND("|",$A213)-1)),3)),IFERROR(VALUE(LEFT(LOWER(LEFT($A213,FIND("|",$A213)-1)),2)),IFERROR(VALUE(LEFT(LOWER(LEFT($A213,FIND("|",$A213)-1)),1)),-1)))&gt;=0,TEXT(IFERROR(VALUE(LEFT(LOWER(LEFT($A213,FIND("|",$A213)-1)),3)),IFERROR(VALUE(LEFT(LOWER(LEFT($A213,FIND("|",$A213)-1)),2)),IFERROR(VALUE(LEFT(LOWER(LEFT($A213,FIND("|",$A213)-1)),1)),-1))),"000000")&amp;MID(LOWER(LEFT($A213,FIND("|",$A213)-1)),LEN(TEXT(IFERROR(VALUE(LEFT(LOWER(LEFT($A213,FIND("|",$A213)-1)),3)),IFERROR(VALUE(LEFT(LOWER(LEFT($A213,FIND("|",$A213)-1)),2)),IFERROR(VALUE(LEFT(LOWER(LEFT($A213,FIND("|",$A213)-1)),1)),-1))),"0"))+1,99),LOWER(LEFT($A213,FIND("|",$A213)-1)))&amp;CHAR(9)&amp;TEXT(IF(SUBSTITUTE(MID($A213,FIND("|",$A213)+1,50),"'","")="",0,IFERROR(VALUE(SUBSTITUTE(MID($A213,FIND("|",$A213)+1,50),"'","")),999999)),"000000")&amp;CHAR(9)&amp;TEXT($B213,"0000"))</f>
        <v/>
      </c>
      <c r="E213" s="4">
        <f>IF($D213="","",SUMPRODUCT(($D$5:$D$364&lt;&gt;"")*($D$5:$D$364&lt;$D213))+1)</f>
        <v/>
      </c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70">
      <c r="A214" s="4">
        <f t="array" ref="A214">IF(N(INDIRECT("'Pull Sheet'!U36"))&gt;0,INDIRECT("'Pull Sheet'!S36")&amp;"|"&amp;INDIRECT("'Pull Sheet'!T36"),"")</f>
        <v/>
      </c>
      <c r="B214" s="4">
        <f>IF(AND($A214&lt;&gt;"",COUNTIF($A$5:$A214,$A214)=1),MAX($B$4:$B213)+1,"")</f>
        <v/>
      </c>
      <c r="C214" s="4">
        <f t="array" ref="C214">IF($A214="","",N(INDIRECT("'Pull Sheet'!U36")))</f>
        <v/>
      </c>
      <c r="D214" s="4">
        <f>IF($B214="","",IF(IFERROR(VALUE(LEFT(LOWER(LEFT($A214,FIND("|",$A214)-1)),3)),IFERROR(VALUE(LEFT(LOWER(LEFT($A214,FIND("|",$A214)-1)),2)),IFERROR(VALUE(LEFT(LOWER(LEFT($A214,FIND("|",$A214)-1)),1)),-1)))&gt;=0,TEXT(IFERROR(VALUE(LEFT(LOWER(LEFT($A214,FIND("|",$A214)-1)),3)),IFERROR(VALUE(LEFT(LOWER(LEFT($A214,FIND("|",$A214)-1)),2)),IFERROR(VALUE(LEFT(LOWER(LEFT($A214,FIND("|",$A214)-1)),1)),-1))),"000000")&amp;MID(LOWER(LEFT($A214,FIND("|",$A214)-1)),LEN(TEXT(IFERROR(VALUE(LEFT(LOWER(LEFT($A214,FIND("|",$A214)-1)),3)),IFERROR(VALUE(LEFT(LOWER(LEFT($A214,FIND("|",$A214)-1)),2)),IFERROR(VALUE(LEFT(LOWER(LEFT($A214,FIND("|",$A214)-1)),1)),-1))),"0"))+1,99),LOWER(LEFT($A214,FIND("|",$A214)-1)))&amp;CHAR(9)&amp;TEXT(IF(SUBSTITUTE(MID($A214,FIND("|",$A214)+1,50),"'","")="",0,IFERROR(VALUE(SUBSTITUTE(MID($A214,FIND("|",$A214)+1,50),"'","")),999999)),"000000")&amp;CHAR(9)&amp;TEXT($B214,"0000"))</f>
        <v/>
      </c>
      <c r="E214" s="4">
        <f>IF($D214="","",SUMPRODUCT(($D$5:$D$364&lt;&gt;"")*($D$5:$D$364&lt;$D214))+1)</f>
        <v/>
      </c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70">
      <c r="A215" s="4">
        <f t="array" ref="A215">IF(N(INDIRECT("'Pull Sheet'!U37"))&gt;0,INDIRECT("'Pull Sheet'!S37")&amp;"|"&amp;INDIRECT("'Pull Sheet'!T37"),"")</f>
        <v/>
      </c>
      <c r="B215" s="4">
        <f>IF(AND($A215&lt;&gt;"",COUNTIF($A$5:$A215,$A215)=1),MAX($B$4:$B214)+1,"")</f>
        <v/>
      </c>
      <c r="C215" s="4">
        <f t="array" ref="C215">IF($A215="","",N(INDIRECT("'Pull Sheet'!U37")))</f>
        <v/>
      </c>
      <c r="D215" s="4">
        <f>IF($B215="","",IF(IFERROR(VALUE(LEFT(LOWER(LEFT($A215,FIND("|",$A215)-1)),3)),IFERROR(VALUE(LEFT(LOWER(LEFT($A215,FIND("|",$A215)-1)),2)),IFERROR(VALUE(LEFT(LOWER(LEFT($A215,FIND("|",$A215)-1)),1)),-1)))&gt;=0,TEXT(IFERROR(VALUE(LEFT(LOWER(LEFT($A215,FIND("|",$A215)-1)),3)),IFERROR(VALUE(LEFT(LOWER(LEFT($A215,FIND("|",$A215)-1)),2)),IFERROR(VALUE(LEFT(LOWER(LEFT($A215,FIND("|",$A215)-1)),1)),-1))),"000000")&amp;MID(LOWER(LEFT($A215,FIND("|",$A215)-1)),LEN(TEXT(IFERROR(VALUE(LEFT(LOWER(LEFT($A215,FIND("|",$A215)-1)),3)),IFERROR(VALUE(LEFT(LOWER(LEFT($A215,FIND("|",$A215)-1)),2)),IFERROR(VALUE(LEFT(LOWER(LEFT($A215,FIND("|",$A215)-1)),1)),-1))),"0"))+1,99),LOWER(LEFT($A215,FIND("|",$A215)-1)))&amp;CHAR(9)&amp;TEXT(IF(SUBSTITUTE(MID($A215,FIND("|",$A215)+1,50),"'","")="",0,IFERROR(VALUE(SUBSTITUTE(MID($A215,FIND("|",$A215)+1,50),"'","")),999999)),"000000")&amp;CHAR(9)&amp;TEXT($B215,"0000"))</f>
        <v/>
      </c>
      <c r="E215" s="4">
        <f>IF($D215="","",SUMPRODUCT(($D$5:$D$364&lt;&gt;"")*($D$5:$D$364&lt;$D215))+1)</f>
        <v/>
      </c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70">
      <c r="A216" s="4">
        <f t="array" ref="A216">IF(N(INDIRECT("'Pull Sheet'!U38"))&gt;0,INDIRECT("'Pull Sheet'!S38")&amp;"|"&amp;INDIRECT("'Pull Sheet'!T38"),"")</f>
        <v/>
      </c>
      <c r="B216" s="4">
        <f>IF(AND($A216&lt;&gt;"",COUNTIF($A$5:$A216,$A216)=1),MAX($B$4:$B215)+1,"")</f>
        <v/>
      </c>
      <c r="C216" s="4">
        <f t="array" ref="C216">IF($A216="","",N(INDIRECT("'Pull Sheet'!U38")))</f>
        <v/>
      </c>
      <c r="D216" s="4">
        <f>IF($B216="","",IF(IFERROR(VALUE(LEFT(LOWER(LEFT($A216,FIND("|",$A216)-1)),3)),IFERROR(VALUE(LEFT(LOWER(LEFT($A216,FIND("|",$A216)-1)),2)),IFERROR(VALUE(LEFT(LOWER(LEFT($A216,FIND("|",$A216)-1)),1)),-1)))&gt;=0,TEXT(IFERROR(VALUE(LEFT(LOWER(LEFT($A216,FIND("|",$A216)-1)),3)),IFERROR(VALUE(LEFT(LOWER(LEFT($A216,FIND("|",$A216)-1)),2)),IFERROR(VALUE(LEFT(LOWER(LEFT($A216,FIND("|",$A216)-1)),1)),-1))),"000000")&amp;MID(LOWER(LEFT($A216,FIND("|",$A216)-1)),LEN(TEXT(IFERROR(VALUE(LEFT(LOWER(LEFT($A216,FIND("|",$A216)-1)),3)),IFERROR(VALUE(LEFT(LOWER(LEFT($A216,FIND("|",$A216)-1)),2)),IFERROR(VALUE(LEFT(LOWER(LEFT($A216,FIND("|",$A216)-1)),1)),-1))),"0"))+1,99),LOWER(LEFT($A216,FIND("|",$A216)-1)))&amp;CHAR(9)&amp;TEXT(IF(SUBSTITUTE(MID($A216,FIND("|",$A216)+1,50),"'","")="",0,IFERROR(VALUE(SUBSTITUTE(MID($A216,FIND("|",$A216)+1,50),"'","")),999999)),"000000")&amp;CHAR(9)&amp;TEXT($B216,"0000"))</f>
        <v/>
      </c>
      <c r="E216" s="4">
        <f>IF($D216="","",SUMPRODUCT(($D$5:$D$364&lt;&gt;"")*($D$5:$D$364&lt;$D216))+1)</f>
        <v/>
      </c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70">
      <c r="A217" s="4">
        <f t="array" ref="A217">IF(N(INDIRECT("'Pull Sheet'!U39"))&gt;0,INDIRECT("'Pull Sheet'!S39")&amp;"|"&amp;INDIRECT("'Pull Sheet'!T39"),"")</f>
        <v/>
      </c>
      <c r="B217" s="4">
        <f>IF(AND($A217&lt;&gt;"",COUNTIF($A$5:$A217,$A217)=1),MAX($B$4:$B216)+1,"")</f>
        <v/>
      </c>
      <c r="C217" s="4">
        <f t="array" ref="C217">IF($A217="","",N(INDIRECT("'Pull Sheet'!U39")))</f>
        <v/>
      </c>
      <c r="D217" s="4">
        <f>IF($B217="","",IF(IFERROR(VALUE(LEFT(LOWER(LEFT($A217,FIND("|",$A217)-1)),3)),IFERROR(VALUE(LEFT(LOWER(LEFT($A217,FIND("|",$A217)-1)),2)),IFERROR(VALUE(LEFT(LOWER(LEFT($A217,FIND("|",$A217)-1)),1)),-1)))&gt;=0,TEXT(IFERROR(VALUE(LEFT(LOWER(LEFT($A217,FIND("|",$A217)-1)),3)),IFERROR(VALUE(LEFT(LOWER(LEFT($A217,FIND("|",$A217)-1)),2)),IFERROR(VALUE(LEFT(LOWER(LEFT($A217,FIND("|",$A217)-1)),1)),-1))),"000000")&amp;MID(LOWER(LEFT($A217,FIND("|",$A217)-1)),LEN(TEXT(IFERROR(VALUE(LEFT(LOWER(LEFT($A217,FIND("|",$A217)-1)),3)),IFERROR(VALUE(LEFT(LOWER(LEFT($A217,FIND("|",$A217)-1)),2)),IFERROR(VALUE(LEFT(LOWER(LEFT($A217,FIND("|",$A217)-1)),1)),-1))),"0"))+1,99),LOWER(LEFT($A217,FIND("|",$A217)-1)))&amp;CHAR(9)&amp;TEXT(IF(SUBSTITUTE(MID($A217,FIND("|",$A217)+1,50),"'","")="",0,IFERROR(VALUE(SUBSTITUTE(MID($A217,FIND("|",$A217)+1,50),"'","")),999999)),"000000")&amp;CHAR(9)&amp;TEXT($B217,"0000"))</f>
        <v/>
      </c>
      <c r="E217" s="4">
        <f>IF($D217="","",SUMPRODUCT(($D$5:$D$364&lt;&gt;"")*($D$5:$D$364&lt;$D217))+1)</f>
        <v/>
      </c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70">
      <c r="A218" s="4">
        <f t="array" ref="A218">IF(N(INDIRECT("'Pull Sheet'!U40"))&gt;0,INDIRECT("'Pull Sheet'!S40")&amp;"|"&amp;INDIRECT("'Pull Sheet'!T40"),"")</f>
        <v/>
      </c>
      <c r="B218" s="4">
        <f>IF(AND($A218&lt;&gt;"",COUNTIF($A$5:$A218,$A218)=1),MAX($B$4:$B217)+1,"")</f>
        <v/>
      </c>
      <c r="C218" s="4">
        <f t="array" ref="C218">IF($A218="","",N(INDIRECT("'Pull Sheet'!U40")))</f>
        <v/>
      </c>
      <c r="D218" s="4">
        <f>IF($B218="","",IF(IFERROR(VALUE(LEFT(LOWER(LEFT($A218,FIND("|",$A218)-1)),3)),IFERROR(VALUE(LEFT(LOWER(LEFT($A218,FIND("|",$A218)-1)),2)),IFERROR(VALUE(LEFT(LOWER(LEFT($A218,FIND("|",$A218)-1)),1)),-1)))&gt;=0,TEXT(IFERROR(VALUE(LEFT(LOWER(LEFT($A218,FIND("|",$A218)-1)),3)),IFERROR(VALUE(LEFT(LOWER(LEFT($A218,FIND("|",$A218)-1)),2)),IFERROR(VALUE(LEFT(LOWER(LEFT($A218,FIND("|",$A218)-1)),1)),-1))),"000000")&amp;MID(LOWER(LEFT($A218,FIND("|",$A218)-1)),LEN(TEXT(IFERROR(VALUE(LEFT(LOWER(LEFT($A218,FIND("|",$A218)-1)),3)),IFERROR(VALUE(LEFT(LOWER(LEFT($A218,FIND("|",$A218)-1)),2)),IFERROR(VALUE(LEFT(LOWER(LEFT($A218,FIND("|",$A218)-1)),1)),-1))),"0"))+1,99),LOWER(LEFT($A218,FIND("|",$A218)-1)))&amp;CHAR(9)&amp;TEXT(IF(SUBSTITUTE(MID($A218,FIND("|",$A218)+1,50),"'","")="",0,IFERROR(VALUE(SUBSTITUTE(MID($A218,FIND("|",$A218)+1,50),"'","")),999999)),"000000")&amp;CHAR(9)&amp;TEXT($B218,"0000"))</f>
        <v/>
      </c>
      <c r="E218" s="4">
        <f>IF($D218="","",SUMPRODUCT(($D$5:$D$364&lt;&gt;"")*($D$5:$D$364&lt;$D218))+1)</f>
        <v/>
      </c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70">
      <c r="A219" s="4">
        <f t="array" ref="A219">IF(N(INDIRECT("'Pull Sheet'!U41"))&gt;0,INDIRECT("'Pull Sheet'!S41")&amp;"|"&amp;INDIRECT("'Pull Sheet'!T41"),"")</f>
        <v/>
      </c>
      <c r="B219" s="4">
        <f>IF(AND($A219&lt;&gt;"",COUNTIF($A$5:$A219,$A219)=1),MAX($B$4:$B218)+1,"")</f>
        <v/>
      </c>
      <c r="C219" s="4">
        <f t="array" ref="C219">IF($A219="","",N(INDIRECT("'Pull Sheet'!U41")))</f>
        <v/>
      </c>
      <c r="D219" s="4">
        <f>IF($B219="","",IF(IFERROR(VALUE(LEFT(LOWER(LEFT($A219,FIND("|",$A219)-1)),3)),IFERROR(VALUE(LEFT(LOWER(LEFT($A219,FIND("|",$A219)-1)),2)),IFERROR(VALUE(LEFT(LOWER(LEFT($A219,FIND("|",$A219)-1)),1)),-1)))&gt;=0,TEXT(IFERROR(VALUE(LEFT(LOWER(LEFT($A219,FIND("|",$A219)-1)),3)),IFERROR(VALUE(LEFT(LOWER(LEFT($A219,FIND("|",$A219)-1)),2)),IFERROR(VALUE(LEFT(LOWER(LEFT($A219,FIND("|",$A219)-1)),1)),-1))),"000000")&amp;MID(LOWER(LEFT($A219,FIND("|",$A219)-1)),LEN(TEXT(IFERROR(VALUE(LEFT(LOWER(LEFT($A219,FIND("|",$A219)-1)),3)),IFERROR(VALUE(LEFT(LOWER(LEFT($A219,FIND("|",$A219)-1)),2)),IFERROR(VALUE(LEFT(LOWER(LEFT($A219,FIND("|",$A219)-1)),1)),-1))),"0"))+1,99),LOWER(LEFT($A219,FIND("|",$A219)-1)))&amp;CHAR(9)&amp;TEXT(IF(SUBSTITUTE(MID($A219,FIND("|",$A219)+1,50),"'","")="",0,IFERROR(VALUE(SUBSTITUTE(MID($A219,FIND("|",$A219)+1,50),"'","")),999999)),"000000")&amp;CHAR(9)&amp;TEXT($B219,"0000"))</f>
        <v/>
      </c>
      <c r="E219" s="4">
        <f>IF($D219="","",SUMPRODUCT(($D$5:$D$364&lt;&gt;"")*($D$5:$D$364&lt;$D219))+1)</f>
        <v/>
      </c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70">
      <c r="A220" s="4">
        <f t="array" ref="A220">IF(N(INDIRECT("'Pull Sheet'!U42"))&gt;0,INDIRECT("'Pull Sheet'!S42")&amp;"|"&amp;INDIRECT("'Pull Sheet'!T42"),"")</f>
        <v/>
      </c>
      <c r="B220" s="4">
        <f>IF(AND($A220&lt;&gt;"",COUNTIF($A$5:$A220,$A220)=1),MAX($B$4:$B219)+1,"")</f>
        <v/>
      </c>
      <c r="C220" s="4">
        <f t="array" ref="C220">IF($A220="","",N(INDIRECT("'Pull Sheet'!U42")))</f>
        <v/>
      </c>
      <c r="D220" s="4">
        <f>IF($B220="","",IF(IFERROR(VALUE(LEFT(LOWER(LEFT($A220,FIND("|",$A220)-1)),3)),IFERROR(VALUE(LEFT(LOWER(LEFT($A220,FIND("|",$A220)-1)),2)),IFERROR(VALUE(LEFT(LOWER(LEFT($A220,FIND("|",$A220)-1)),1)),-1)))&gt;=0,TEXT(IFERROR(VALUE(LEFT(LOWER(LEFT($A220,FIND("|",$A220)-1)),3)),IFERROR(VALUE(LEFT(LOWER(LEFT($A220,FIND("|",$A220)-1)),2)),IFERROR(VALUE(LEFT(LOWER(LEFT($A220,FIND("|",$A220)-1)),1)),-1))),"000000")&amp;MID(LOWER(LEFT($A220,FIND("|",$A220)-1)),LEN(TEXT(IFERROR(VALUE(LEFT(LOWER(LEFT($A220,FIND("|",$A220)-1)),3)),IFERROR(VALUE(LEFT(LOWER(LEFT($A220,FIND("|",$A220)-1)),2)),IFERROR(VALUE(LEFT(LOWER(LEFT($A220,FIND("|",$A220)-1)),1)),-1))),"0"))+1,99),LOWER(LEFT($A220,FIND("|",$A220)-1)))&amp;CHAR(9)&amp;TEXT(IF(SUBSTITUTE(MID($A220,FIND("|",$A220)+1,50),"'","")="",0,IFERROR(VALUE(SUBSTITUTE(MID($A220,FIND("|",$A220)+1,50),"'","")),999999)),"000000")&amp;CHAR(9)&amp;TEXT($B220,"0000"))</f>
        <v/>
      </c>
      <c r="E220" s="4">
        <f>IF($D220="","",SUMPRODUCT(($D$5:$D$364&lt;&gt;"")*($D$5:$D$364&lt;$D220))+1)</f>
        <v/>
      </c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70">
      <c r="A221" s="4">
        <f t="array" ref="A221">IF(N(INDIRECT("'Pull Sheet'!U43"))&gt;0,INDIRECT("'Pull Sheet'!S43")&amp;"|"&amp;INDIRECT("'Pull Sheet'!T43"),"")</f>
        <v/>
      </c>
      <c r="B221" s="4">
        <f>IF(AND($A221&lt;&gt;"",COUNTIF($A$5:$A221,$A221)=1),MAX($B$4:$B220)+1,"")</f>
        <v/>
      </c>
      <c r="C221" s="4">
        <f t="array" ref="C221">IF($A221="","",N(INDIRECT("'Pull Sheet'!U43")))</f>
        <v/>
      </c>
      <c r="D221" s="4">
        <f>IF($B221="","",IF(IFERROR(VALUE(LEFT(LOWER(LEFT($A221,FIND("|",$A221)-1)),3)),IFERROR(VALUE(LEFT(LOWER(LEFT($A221,FIND("|",$A221)-1)),2)),IFERROR(VALUE(LEFT(LOWER(LEFT($A221,FIND("|",$A221)-1)),1)),-1)))&gt;=0,TEXT(IFERROR(VALUE(LEFT(LOWER(LEFT($A221,FIND("|",$A221)-1)),3)),IFERROR(VALUE(LEFT(LOWER(LEFT($A221,FIND("|",$A221)-1)),2)),IFERROR(VALUE(LEFT(LOWER(LEFT($A221,FIND("|",$A221)-1)),1)),-1))),"000000")&amp;MID(LOWER(LEFT($A221,FIND("|",$A221)-1)),LEN(TEXT(IFERROR(VALUE(LEFT(LOWER(LEFT($A221,FIND("|",$A221)-1)),3)),IFERROR(VALUE(LEFT(LOWER(LEFT($A221,FIND("|",$A221)-1)),2)),IFERROR(VALUE(LEFT(LOWER(LEFT($A221,FIND("|",$A221)-1)),1)),-1))),"0"))+1,99),LOWER(LEFT($A221,FIND("|",$A221)-1)))&amp;CHAR(9)&amp;TEXT(IF(SUBSTITUTE(MID($A221,FIND("|",$A221)+1,50),"'","")="",0,IFERROR(VALUE(SUBSTITUTE(MID($A221,FIND("|",$A221)+1,50),"'","")),999999)),"000000")&amp;CHAR(9)&amp;TEXT($B221,"0000"))</f>
        <v/>
      </c>
      <c r="E221" s="4">
        <f>IF($D221="","",SUMPRODUCT(($D$5:$D$364&lt;&gt;"")*($D$5:$D$364&lt;$D221))+1)</f>
        <v/>
      </c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70">
      <c r="A222" s="4">
        <f t="array" ref="A222">IF(N(INDIRECT("'Pull Sheet'!U44"))&gt;0,INDIRECT("'Pull Sheet'!S44")&amp;"|"&amp;INDIRECT("'Pull Sheet'!T44"),"")</f>
        <v/>
      </c>
      <c r="B222" s="4">
        <f>IF(AND($A222&lt;&gt;"",COUNTIF($A$5:$A222,$A222)=1),MAX($B$4:$B221)+1,"")</f>
        <v/>
      </c>
      <c r="C222" s="4">
        <f t="array" ref="C222">IF($A222="","",N(INDIRECT("'Pull Sheet'!U44")))</f>
        <v/>
      </c>
      <c r="D222" s="4">
        <f>IF($B222="","",IF(IFERROR(VALUE(LEFT(LOWER(LEFT($A222,FIND("|",$A222)-1)),3)),IFERROR(VALUE(LEFT(LOWER(LEFT($A222,FIND("|",$A222)-1)),2)),IFERROR(VALUE(LEFT(LOWER(LEFT($A222,FIND("|",$A222)-1)),1)),-1)))&gt;=0,TEXT(IFERROR(VALUE(LEFT(LOWER(LEFT($A222,FIND("|",$A222)-1)),3)),IFERROR(VALUE(LEFT(LOWER(LEFT($A222,FIND("|",$A222)-1)),2)),IFERROR(VALUE(LEFT(LOWER(LEFT($A222,FIND("|",$A222)-1)),1)),-1))),"000000")&amp;MID(LOWER(LEFT($A222,FIND("|",$A222)-1)),LEN(TEXT(IFERROR(VALUE(LEFT(LOWER(LEFT($A222,FIND("|",$A222)-1)),3)),IFERROR(VALUE(LEFT(LOWER(LEFT($A222,FIND("|",$A222)-1)),2)),IFERROR(VALUE(LEFT(LOWER(LEFT($A222,FIND("|",$A222)-1)),1)),-1))),"0"))+1,99),LOWER(LEFT($A222,FIND("|",$A222)-1)))&amp;CHAR(9)&amp;TEXT(IF(SUBSTITUTE(MID($A222,FIND("|",$A222)+1,50),"'","")="",0,IFERROR(VALUE(SUBSTITUTE(MID($A222,FIND("|",$A222)+1,50),"'","")),999999)),"000000")&amp;CHAR(9)&amp;TEXT($B222,"0000"))</f>
        <v/>
      </c>
      <c r="E222" s="4">
        <f>IF($D222="","",SUMPRODUCT(($D$5:$D$364&lt;&gt;"")*($D$5:$D$364&lt;$D222))+1)</f>
        <v/>
      </c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70">
      <c r="A223" s="4">
        <f t="array" ref="A223">IF(N(INDIRECT("'Pull Sheet'!U45"))&gt;0,INDIRECT("'Pull Sheet'!S45")&amp;"|"&amp;INDIRECT("'Pull Sheet'!T45"),"")</f>
        <v/>
      </c>
      <c r="B223" s="4">
        <f>IF(AND($A223&lt;&gt;"",COUNTIF($A$5:$A223,$A223)=1),MAX($B$4:$B222)+1,"")</f>
        <v/>
      </c>
      <c r="C223" s="4">
        <f t="array" ref="C223">IF($A223="","",N(INDIRECT("'Pull Sheet'!U45")))</f>
        <v/>
      </c>
      <c r="D223" s="4">
        <f>IF($B223="","",IF(IFERROR(VALUE(LEFT(LOWER(LEFT($A223,FIND("|",$A223)-1)),3)),IFERROR(VALUE(LEFT(LOWER(LEFT($A223,FIND("|",$A223)-1)),2)),IFERROR(VALUE(LEFT(LOWER(LEFT($A223,FIND("|",$A223)-1)),1)),-1)))&gt;=0,TEXT(IFERROR(VALUE(LEFT(LOWER(LEFT($A223,FIND("|",$A223)-1)),3)),IFERROR(VALUE(LEFT(LOWER(LEFT($A223,FIND("|",$A223)-1)),2)),IFERROR(VALUE(LEFT(LOWER(LEFT($A223,FIND("|",$A223)-1)),1)),-1))),"000000")&amp;MID(LOWER(LEFT($A223,FIND("|",$A223)-1)),LEN(TEXT(IFERROR(VALUE(LEFT(LOWER(LEFT($A223,FIND("|",$A223)-1)),3)),IFERROR(VALUE(LEFT(LOWER(LEFT($A223,FIND("|",$A223)-1)),2)),IFERROR(VALUE(LEFT(LOWER(LEFT($A223,FIND("|",$A223)-1)),1)),-1))),"0"))+1,99),LOWER(LEFT($A223,FIND("|",$A223)-1)))&amp;CHAR(9)&amp;TEXT(IF(SUBSTITUTE(MID($A223,FIND("|",$A223)+1,50),"'","")="",0,IFERROR(VALUE(SUBSTITUTE(MID($A223,FIND("|",$A223)+1,50),"'","")),999999)),"000000")&amp;CHAR(9)&amp;TEXT($B223,"0000"))</f>
        <v/>
      </c>
      <c r="E223" s="4">
        <f>IF($D223="","",SUMPRODUCT(($D$5:$D$364&lt;&gt;"")*($D$5:$D$364&lt;$D223))+1)</f>
        <v/>
      </c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70">
      <c r="A224" s="4">
        <f t="array" ref="A224">IF(N(INDIRECT("'Pull Sheet'!U46"))&gt;0,INDIRECT("'Pull Sheet'!S46")&amp;"|"&amp;INDIRECT("'Pull Sheet'!T46"),"")</f>
        <v/>
      </c>
      <c r="B224" s="4">
        <f>IF(AND($A224&lt;&gt;"",COUNTIF($A$5:$A224,$A224)=1),MAX($B$4:$B223)+1,"")</f>
        <v/>
      </c>
      <c r="C224" s="4">
        <f t="array" ref="C224">IF($A224="","",N(INDIRECT("'Pull Sheet'!U46")))</f>
        <v/>
      </c>
      <c r="D224" s="4">
        <f>IF($B224="","",IF(IFERROR(VALUE(LEFT(LOWER(LEFT($A224,FIND("|",$A224)-1)),3)),IFERROR(VALUE(LEFT(LOWER(LEFT($A224,FIND("|",$A224)-1)),2)),IFERROR(VALUE(LEFT(LOWER(LEFT($A224,FIND("|",$A224)-1)),1)),-1)))&gt;=0,TEXT(IFERROR(VALUE(LEFT(LOWER(LEFT($A224,FIND("|",$A224)-1)),3)),IFERROR(VALUE(LEFT(LOWER(LEFT($A224,FIND("|",$A224)-1)),2)),IFERROR(VALUE(LEFT(LOWER(LEFT($A224,FIND("|",$A224)-1)),1)),-1))),"000000")&amp;MID(LOWER(LEFT($A224,FIND("|",$A224)-1)),LEN(TEXT(IFERROR(VALUE(LEFT(LOWER(LEFT($A224,FIND("|",$A224)-1)),3)),IFERROR(VALUE(LEFT(LOWER(LEFT($A224,FIND("|",$A224)-1)),2)),IFERROR(VALUE(LEFT(LOWER(LEFT($A224,FIND("|",$A224)-1)),1)),-1))),"0"))+1,99),LOWER(LEFT($A224,FIND("|",$A224)-1)))&amp;CHAR(9)&amp;TEXT(IF(SUBSTITUTE(MID($A224,FIND("|",$A224)+1,50),"'","")="",0,IFERROR(VALUE(SUBSTITUTE(MID($A224,FIND("|",$A224)+1,50),"'","")),999999)),"000000")&amp;CHAR(9)&amp;TEXT($B224,"0000"))</f>
        <v/>
      </c>
      <c r="E224" s="4">
        <f>IF($D224="","",SUMPRODUCT(($D$5:$D$364&lt;&gt;"")*($D$5:$D$364&lt;$D224))+1)</f>
        <v/>
      </c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70">
      <c r="A225" s="4">
        <f t="array" ref="A225">IF(N(INDIRECT("'Pull Sheet'!U47"))&gt;0,INDIRECT("'Pull Sheet'!S47")&amp;"|"&amp;INDIRECT("'Pull Sheet'!T47"),"")</f>
        <v/>
      </c>
      <c r="B225" s="4">
        <f>IF(AND($A225&lt;&gt;"",COUNTIF($A$5:$A225,$A225)=1),MAX($B$4:$B224)+1,"")</f>
        <v/>
      </c>
      <c r="C225" s="4">
        <f t="array" ref="C225">IF($A225="","",N(INDIRECT("'Pull Sheet'!U47")))</f>
        <v/>
      </c>
      <c r="D225" s="4">
        <f>IF($B225="","",IF(IFERROR(VALUE(LEFT(LOWER(LEFT($A225,FIND("|",$A225)-1)),3)),IFERROR(VALUE(LEFT(LOWER(LEFT($A225,FIND("|",$A225)-1)),2)),IFERROR(VALUE(LEFT(LOWER(LEFT($A225,FIND("|",$A225)-1)),1)),-1)))&gt;=0,TEXT(IFERROR(VALUE(LEFT(LOWER(LEFT($A225,FIND("|",$A225)-1)),3)),IFERROR(VALUE(LEFT(LOWER(LEFT($A225,FIND("|",$A225)-1)),2)),IFERROR(VALUE(LEFT(LOWER(LEFT($A225,FIND("|",$A225)-1)),1)),-1))),"000000")&amp;MID(LOWER(LEFT($A225,FIND("|",$A225)-1)),LEN(TEXT(IFERROR(VALUE(LEFT(LOWER(LEFT($A225,FIND("|",$A225)-1)),3)),IFERROR(VALUE(LEFT(LOWER(LEFT($A225,FIND("|",$A225)-1)),2)),IFERROR(VALUE(LEFT(LOWER(LEFT($A225,FIND("|",$A225)-1)),1)),-1))),"0"))+1,99),LOWER(LEFT($A225,FIND("|",$A225)-1)))&amp;CHAR(9)&amp;TEXT(IF(SUBSTITUTE(MID($A225,FIND("|",$A225)+1,50),"'","")="",0,IFERROR(VALUE(SUBSTITUTE(MID($A225,FIND("|",$A225)+1,50),"'","")),999999)),"000000")&amp;CHAR(9)&amp;TEXT($B225,"0000"))</f>
        <v/>
      </c>
      <c r="E225" s="4">
        <f>IF($D225="","",SUMPRODUCT(($D$5:$D$364&lt;&gt;"")*($D$5:$D$364&lt;$D225))+1)</f>
        <v/>
      </c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70">
      <c r="A226" s="4">
        <f t="array" ref="A226">IF(N(INDIRECT("'Pull Sheet'!U48"))&gt;0,INDIRECT("'Pull Sheet'!S48")&amp;"|"&amp;INDIRECT("'Pull Sheet'!T48"),"")</f>
        <v/>
      </c>
      <c r="B226" s="4">
        <f>IF(AND($A226&lt;&gt;"",COUNTIF($A$5:$A226,$A226)=1),MAX($B$4:$B225)+1,"")</f>
        <v/>
      </c>
      <c r="C226" s="4">
        <f t="array" ref="C226">IF($A226="","",N(INDIRECT("'Pull Sheet'!U48")))</f>
        <v/>
      </c>
      <c r="D226" s="4">
        <f>IF($B226="","",IF(IFERROR(VALUE(LEFT(LOWER(LEFT($A226,FIND("|",$A226)-1)),3)),IFERROR(VALUE(LEFT(LOWER(LEFT($A226,FIND("|",$A226)-1)),2)),IFERROR(VALUE(LEFT(LOWER(LEFT($A226,FIND("|",$A226)-1)),1)),-1)))&gt;=0,TEXT(IFERROR(VALUE(LEFT(LOWER(LEFT($A226,FIND("|",$A226)-1)),3)),IFERROR(VALUE(LEFT(LOWER(LEFT($A226,FIND("|",$A226)-1)),2)),IFERROR(VALUE(LEFT(LOWER(LEFT($A226,FIND("|",$A226)-1)),1)),-1))),"000000")&amp;MID(LOWER(LEFT($A226,FIND("|",$A226)-1)),LEN(TEXT(IFERROR(VALUE(LEFT(LOWER(LEFT($A226,FIND("|",$A226)-1)),3)),IFERROR(VALUE(LEFT(LOWER(LEFT($A226,FIND("|",$A226)-1)),2)),IFERROR(VALUE(LEFT(LOWER(LEFT($A226,FIND("|",$A226)-1)),1)),-1))),"0"))+1,99),LOWER(LEFT($A226,FIND("|",$A226)-1)))&amp;CHAR(9)&amp;TEXT(IF(SUBSTITUTE(MID($A226,FIND("|",$A226)+1,50),"'","")="",0,IFERROR(VALUE(SUBSTITUTE(MID($A226,FIND("|",$A226)+1,50),"'","")),999999)),"000000")&amp;CHAR(9)&amp;TEXT($B226,"0000"))</f>
        <v/>
      </c>
      <c r="E226" s="4">
        <f>IF($D226="","",SUMPRODUCT(($D$5:$D$364&lt;&gt;"")*($D$5:$D$364&lt;$D226))+1)</f>
        <v/>
      </c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70">
      <c r="A227" s="4">
        <f t="array" ref="A227">IF(N(INDIRECT("'Pull Sheet'!U49"))&gt;0,INDIRECT("'Pull Sheet'!S49")&amp;"|"&amp;INDIRECT("'Pull Sheet'!T49"),"")</f>
        <v/>
      </c>
      <c r="B227" s="4">
        <f>IF(AND($A227&lt;&gt;"",COUNTIF($A$5:$A227,$A227)=1),MAX($B$4:$B226)+1,"")</f>
        <v/>
      </c>
      <c r="C227" s="4">
        <f t="array" ref="C227">IF($A227="","",N(INDIRECT("'Pull Sheet'!U49")))</f>
        <v/>
      </c>
      <c r="D227" s="4">
        <f>IF($B227="","",IF(IFERROR(VALUE(LEFT(LOWER(LEFT($A227,FIND("|",$A227)-1)),3)),IFERROR(VALUE(LEFT(LOWER(LEFT($A227,FIND("|",$A227)-1)),2)),IFERROR(VALUE(LEFT(LOWER(LEFT($A227,FIND("|",$A227)-1)),1)),-1)))&gt;=0,TEXT(IFERROR(VALUE(LEFT(LOWER(LEFT($A227,FIND("|",$A227)-1)),3)),IFERROR(VALUE(LEFT(LOWER(LEFT($A227,FIND("|",$A227)-1)),2)),IFERROR(VALUE(LEFT(LOWER(LEFT($A227,FIND("|",$A227)-1)),1)),-1))),"000000")&amp;MID(LOWER(LEFT($A227,FIND("|",$A227)-1)),LEN(TEXT(IFERROR(VALUE(LEFT(LOWER(LEFT($A227,FIND("|",$A227)-1)),3)),IFERROR(VALUE(LEFT(LOWER(LEFT($A227,FIND("|",$A227)-1)),2)),IFERROR(VALUE(LEFT(LOWER(LEFT($A227,FIND("|",$A227)-1)),1)),-1))),"0"))+1,99),LOWER(LEFT($A227,FIND("|",$A227)-1)))&amp;CHAR(9)&amp;TEXT(IF(SUBSTITUTE(MID($A227,FIND("|",$A227)+1,50),"'","")="",0,IFERROR(VALUE(SUBSTITUTE(MID($A227,FIND("|",$A227)+1,50),"'","")),999999)),"000000")&amp;CHAR(9)&amp;TEXT($B227,"0000"))</f>
        <v/>
      </c>
      <c r="E227" s="4">
        <f>IF($D227="","",SUMPRODUCT(($D$5:$D$364&lt;&gt;"")*($D$5:$D$364&lt;$D227))+1)</f>
        <v/>
      </c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70">
      <c r="A228" s="4">
        <f t="array" ref="A228">IF(N(INDIRECT("'Pull Sheet'!U50"))&gt;0,INDIRECT("'Pull Sheet'!S50")&amp;"|"&amp;INDIRECT("'Pull Sheet'!T50"),"")</f>
        <v/>
      </c>
      <c r="B228" s="4">
        <f>IF(AND($A228&lt;&gt;"",COUNTIF($A$5:$A228,$A228)=1),MAX($B$4:$B227)+1,"")</f>
        <v/>
      </c>
      <c r="C228" s="4">
        <f t="array" ref="C228">IF($A228="","",N(INDIRECT("'Pull Sheet'!U50")))</f>
        <v/>
      </c>
      <c r="D228" s="4">
        <f>IF($B228="","",IF(IFERROR(VALUE(LEFT(LOWER(LEFT($A228,FIND("|",$A228)-1)),3)),IFERROR(VALUE(LEFT(LOWER(LEFT($A228,FIND("|",$A228)-1)),2)),IFERROR(VALUE(LEFT(LOWER(LEFT($A228,FIND("|",$A228)-1)),1)),-1)))&gt;=0,TEXT(IFERROR(VALUE(LEFT(LOWER(LEFT($A228,FIND("|",$A228)-1)),3)),IFERROR(VALUE(LEFT(LOWER(LEFT($A228,FIND("|",$A228)-1)),2)),IFERROR(VALUE(LEFT(LOWER(LEFT($A228,FIND("|",$A228)-1)),1)),-1))),"000000")&amp;MID(LOWER(LEFT($A228,FIND("|",$A228)-1)),LEN(TEXT(IFERROR(VALUE(LEFT(LOWER(LEFT($A228,FIND("|",$A228)-1)),3)),IFERROR(VALUE(LEFT(LOWER(LEFT($A228,FIND("|",$A228)-1)),2)),IFERROR(VALUE(LEFT(LOWER(LEFT($A228,FIND("|",$A228)-1)),1)),-1))),"0"))+1,99),LOWER(LEFT($A228,FIND("|",$A228)-1)))&amp;CHAR(9)&amp;TEXT(IF(SUBSTITUTE(MID($A228,FIND("|",$A228)+1,50),"'","")="",0,IFERROR(VALUE(SUBSTITUTE(MID($A228,FIND("|",$A228)+1,50),"'","")),999999)),"000000")&amp;CHAR(9)&amp;TEXT($B228,"0000"))</f>
        <v/>
      </c>
      <c r="E228" s="4">
        <f>IF($D228="","",SUMPRODUCT(($D$5:$D$364&lt;&gt;"")*($D$5:$D$364&lt;$D228))+1)</f>
        <v/>
      </c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70">
      <c r="A229" s="4">
        <f t="array" ref="A229">IF(N(INDIRECT("'Pull Sheet'!U51"))&gt;0,INDIRECT("'Pull Sheet'!S51")&amp;"|"&amp;INDIRECT("'Pull Sheet'!T51"),"")</f>
        <v/>
      </c>
      <c r="B229" s="4">
        <f>IF(AND($A229&lt;&gt;"",COUNTIF($A$5:$A229,$A229)=1),MAX($B$4:$B228)+1,"")</f>
        <v/>
      </c>
      <c r="C229" s="4">
        <f t="array" ref="C229">IF($A229="","",N(INDIRECT("'Pull Sheet'!U51")))</f>
        <v/>
      </c>
      <c r="D229" s="4">
        <f>IF($B229="","",IF(IFERROR(VALUE(LEFT(LOWER(LEFT($A229,FIND("|",$A229)-1)),3)),IFERROR(VALUE(LEFT(LOWER(LEFT($A229,FIND("|",$A229)-1)),2)),IFERROR(VALUE(LEFT(LOWER(LEFT($A229,FIND("|",$A229)-1)),1)),-1)))&gt;=0,TEXT(IFERROR(VALUE(LEFT(LOWER(LEFT($A229,FIND("|",$A229)-1)),3)),IFERROR(VALUE(LEFT(LOWER(LEFT($A229,FIND("|",$A229)-1)),2)),IFERROR(VALUE(LEFT(LOWER(LEFT($A229,FIND("|",$A229)-1)),1)),-1))),"000000")&amp;MID(LOWER(LEFT($A229,FIND("|",$A229)-1)),LEN(TEXT(IFERROR(VALUE(LEFT(LOWER(LEFT($A229,FIND("|",$A229)-1)),3)),IFERROR(VALUE(LEFT(LOWER(LEFT($A229,FIND("|",$A229)-1)),2)),IFERROR(VALUE(LEFT(LOWER(LEFT($A229,FIND("|",$A229)-1)),1)),-1))),"0"))+1,99),LOWER(LEFT($A229,FIND("|",$A229)-1)))&amp;CHAR(9)&amp;TEXT(IF(SUBSTITUTE(MID($A229,FIND("|",$A229)+1,50),"'","")="",0,IFERROR(VALUE(SUBSTITUTE(MID($A229,FIND("|",$A229)+1,50),"'","")),999999)),"000000")&amp;CHAR(9)&amp;TEXT($B229,"0000"))</f>
        <v/>
      </c>
      <c r="E229" s="4">
        <f>IF($D229="","",SUMPRODUCT(($D$5:$D$364&lt;&gt;"")*($D$5:$D$364&lt;$D229))+1)</f>
        <v/>
      </c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70">
      <c r="A230" s="4">
        <f t="array" ref="A230">IF(N(INDIRECT("'Pull Sheet'!U52"))&gt;0,INDIRECT("'Pull Sheet'!S52")&amp;"|"&amp;INDIRECT("'Pull Sheet'!T52"),"")</f>
        <v/>
      </c>
      <c r="B230" s="4">
        <f>IF(AND($A230&lt;&gt;"",COUNTIF($A$5:$A230,$A230)=1),MAX($B$4:$B229)+1,"")</f>
        <v/>
      </c>
      <c r="C230" s="4">
        <f t="array" ref="C230">IF($A230="","",N(INDIRECT("'Pull Sheet'!U52")))</f>
        <v/>
      </c>
      <c r="D230" s="4">
        <f>IF($B230="","",IF(IFERROR(VALUE(LEFT(LOWER(LEFT($A230,FIND("|",$A230)-1)),3)),IFERROR(VALUE(LEFT(LOWER(LEFT($A230,FIND("|",$A230)-1)),2)),IFERROR(VALUE(LEFT(LOWER(LEFT($A230,FIND("|",$A230)-1)),1)),-1)))&gt;=0,TEXT(IFERROR(VALUE(LEFT(LOWER(LEFT($A230,FIND("|",$A230)-1)),3)),IFERROR(VALUE(LEFT(LOWER(LEFT($A230,FIND("|",$A230)-1)),2)),IFERROR(VALUE(LEFT(LOWER(LEFT($A230,FIND("|",$A230)-1)),1)),-1))),"000000")&amp;MID(LOWER(LEFT($A230,FIND("|",$A230)-1)),LEN(TEXT(IFERROR(VALUE(LEFT(LOWER(LEFT($A230,FIND("|",$A230)-1)),3)),IFERROR(VALUE(LEFT(LOWER(LEFT($A230,FIND("|",$A230)-1)),2)),IFERROR(VALUE(LEFT(LOWER(LEFT($A230,FIND("|",$A230)-1)),1)),-1))),"0"))+1,99),LOWER(LEFT($A230,FIND("|",$A230)-1)))&amp;CHAR(9)&amp;TEXT(IF(SUBSTITUTE(MID($A230,FIND("|",$A230)+1,50),"'","")="",0,IFERROR(VALUE(SUBSTITUTE(MID($A230,FIND("|",$A230)+1,50),"'","")),999999)),"000000")&amp;CHAR(9)&amp;TEXT($B230,"0000"))</f>
        <v/>
      </c>
      <c r="E230" s="4">
        <f>IF($D230="","",SUMPRODUCT(($D$5:$D$364&lt;&gt;"")*($D$5:$D$364&lt;$D230))+1)</f>
        <v/>
      </c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70">
      <c r="A231" s="4">
        <f t="array" ref="A231">IF(N(INDIRECT("'Pull Sheet'!U53"))&gt;0,INDIRECT("'Pull Sheet'!S53")&amp;"|"&amp;INDIRECT("'Pull Sheet'!T53"),"")</f>
        <v/>
      </c>
      <c r="B231" s="4">
        <f>IF(AND($A231&lt;&gt;"",COUNTIF($A$5:$A231,$A231)=1),MAX($B$4:$B230)+1,"")</f>
        <v/>
      </c>
      <c r="C231" s="4">
        <f t="array" ref="C231">IF($A231="","",N(INDIRECT("'Pull Sheet'!U53")))</f>
        <v/>
      </c>
      <c r="D231" s="4">
        <f>IF($B231="","",IF(IFERROR(VALUE(LEFT(LOWER(LEFT($A231,FIND("|",$A231)-1)),3)),IFERROR(VALUE(LEFT(LOWER(LEFT($A231,FIND("|",$A231)-1)),2)),IFERROR(VALUE(LEFT(LOWER(LEFT($A231,FIND("|",$A231)-1)),1)),-1)))&gt;=0,TEXT(IFERROR(VALUE(LEFT(LOWER(LEFT($A231,FIND("|",$A231)-1)),3)),IFERROR(VALUE(LEFT(LOWER(LEFT($A231,FIND("|",$A231)-1)),2)),IFERROR(VALUE(LEFT(LOWER(LEFT($A231,FIND("|",$A231)-1)),1)),-1))),"000000")&amp;MID(LOWER(LEFT($A231,FIND("|",$A231)-1)),LEN(TEXT(IFERROR(VALUE(LEFT(LOWER(LEFT($A231,FIND("|",$A231)-1)),3)),IFERROR(VALUE(LEFT(LOWER(LEFT($A231,FIND("|",$A231)-1)),2)),IFERROR(VALUE(LEFT(LOWER(LEFT($A231,FIND("|",$A231)-1)),1)),-1))),"0"))+1,99),LOWER(LEFT($A231,FIND("|",$A231)-1)))&amp;CHAR(9)&amp;TEXT(IF(SUBSTITUTE(MID($A231,FIND("|",$A231)+1,50),"'","")="",0,IFERROR(VALUE(SUBSTITUTE(MID($A231,FIND("|",$A231)+1,50),"'","")),999999)),"000000")&amp;CHAR(9)&amp;TEXT($B231,"0000"))</f>
        <v/>
      </c>
      <c r="E231" s="4">
        <f>IF($D231="","",SUMPRODUCT(($D$5:$D$364&lt;&gt;"")*($D$5:$D$364&lt;$D231))+1)</f>
        <v/>
      </c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70">
      <c r="A232" s="4">
        <f t="array" ref="A232">IF(N(INDIRECT("'Pull Sheet'!U54"))&gt;0,INDIRECT("'Pull Sheet'!S54")&amp;"|"&amp;INDIRECT("'Pull Sheet'!T54"),"")</f>
        <v/>
      </c>
      <c r="B232" s="4">
        <f>IF(AND($A232&lt;&gt;"",COUNTIF($A$5:$A232,$A232)=1),MAX($B$4:$B231)+1,"")</f>
        <v/>
      </c>
      <c r="C232" s="4">
        <f t="array" ref="C232">IF($A232="","",N(INDIRECT("'Pull Sheet'!U54")))</f>
        <v/>
      </c>
      <c r="D232" s="4">
        <f>IF($B232="","",IF(IFERROR(VALUE(LEFT(LOWER(LEFT($A232,FIND("|",$A232)-1)),3)),IFERROR(VALUE(LEFT(LOWER(LEFT($A232,FIND("|",$A232)-1)),2)),IFERROR(VALUE(LEFT(LOWER(LEFT($A232,FIND("|",$A232)-1)),1)),-1)))&gt;=0,TEXT(IFERROR(VALUE(LEFT(LOWER(LEFT($A232,FIND("|",$A232)-1)),3)),IFERROR(VALUE(LEFT(LOWER(LEFT($A232,FIND("|",$A232)-1)),2)),IFERROR(VALUE(LEFT(LOWER(LEFT($A232,FIND("|",$A232)-1)),1)),-1))),"000000")&amp;MID(LOWER(LEFT($A232,FIND("|",$A232)-1)),LEN(TEXT(IFERROR(VALUE(LEFT(LOWER(LEFT($A232,FIND("|",$A232)-1)),3)),IFERROR(VALUE(LEFT(LOWER(LEFT($A232,FIND("|",$A232)-1)),2)),IFERROR(VALUE(LEFT(LOWER(LEFT($A232,FIND("|",$A232)-1)),1)),-1))),"0"))+1,99),LOWER(LEFT($A232,FIND("|",$A232)-1)))&amp;CHAR(9)&amp;TEXT(IF(SUBSTITUTE(MID($A232,FIND("|",$A232)+1,50),"'","")="",0,IFERROR(VALUE(SUBSTITUTE(MID($A232,FIND("|",$A232)+1,50),"'","")),999999)),"000000")&amp;CHAR(9)&amp;TEXT($B232,"0000"))</f>
        <v/>
      </c>
      <c r="E232" s="4">
        <f>IF($D232="","",SUMPRODUCT(($D$5:$D$364&lt;&gt;"")*($D$5:$D$364&lt;$D232))+1)</f>
        <v/>
      </c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70">
      <c r="A233" s="4">
        <f t="array" ref="A233">IF(N(INDIRECT("'Pull Sheet'!U55"))&gt;0,INDIRECT("'Pull Sheet'!S55")&amp;"|"&amp;INDIRECT("'Pull Sheet'!T55"),"")</f>
        <v/>
      </c>
      <c r="B233" s="4">
        <f>IF(AND($A233&lt;&gt;"",COUNTIF($A$5:$A233,$A233)=1),MAX($B$4:$B232)+1,"")</f>
        <v/>
      </c>
      <c r="C233" s="4">
        <f t="array" ref="C233">IF($A233="","",N(INDIRECT("'Pull Sheet'!U55")))</f>
        <v/>
      </c>
      <c r="D233" s="4">
        <f>IF($B233="","",IF(IFERROR(VALUE(LEFT(LOWER(LEFT($A233,FIND("|",$A233)-1)),3)),IFERROR(VALUE(LEFT(LOWER(LEFT($A233,FIND("|",$A233)-1)),2)),IFERROR(VALUE(LEFT(LOWER(LEFT($A233,FIND("|",$A233)-1)),1)),-1)))&gt;=0,TEXT(IFERROR(VALUE(LEFT(LOWER(LEFT($A233,FIND("|",$A233)-1)),3)),IFERROR(VALUE(LEFT(LOWER(LEFT($A233,FIND("|",$A233)-1)),2)),IFERROR(VALUE(LEFT(LOWER(LEFT($A233,FIND("|",$A233)-1)),1)),-1))),"000000")&amp;MID(LOWER(LEFT($A233,FIND("|",$A233)-1)),LEN(TEXT(IFERROR(VALUE(LEFT(LOWER(LEFT($A233,FIND("|",$A233)-1)),3)),IFERROR(VALUE(LEFT(LOWER(LEFT($A233,FIND("|",$A233)-1)),2)),IFERROR(VALUE(LEFT(LOWER(LEFT($A233,FIND("|",$A233)-1)),1)),-1))),"0"))+1,99),LOWER(LEFT($A233,FIND("|",$A233)-1)))&amp;CHAR(9)&amp;TEXT(IF(SUBSTITUTE(MID($A233,FIND("|",$A233)+1,50),"'","")="",0,IFERROR(VALUE(SUBSTITUTE(MID($A233,FIND("|",$A233)+1,50),"'","")),999999)),"000000")&amp;CHAR(9)&amp;TEXT($B233,"0000"))</f>
        <v/>
      </c>
      <c r="E233" s="4">
        <f>IF($D233="","",SUMPRODUCT(($D$5:$D$364&lt;&gt;"")*($D$5:$D$364&lt;$D233))+1)</f>
        <v/>
      </c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70">
      <c r="A234" s="4">
        <f t="array" ref="A234">IF(N(INDIRECT("'Pull Sheet'!U56"))&gt;0,INDIRECT("'Pull Sheet'!S56")&amp;"|"&amp;INDIRECT("'Pull Sheet'!T56"),"")</f>
        <v/>
      </c>
      <c r="B234" s="4">
        <f>IF(AND($A234&lt;&gt;"",COUNTIF($A$5:$A234,$A234)=1),MAX($B$4:$B233)+1,"")</f>
        <v/>
      </c>
      <c r="C234" s="4">
        <f t="array" ref="C234">IF($A234="","",N(INDIRECT("'Pull Sheet'!U56")))</f>
        <v/>
      </c>
      <c r="D234" s="4">
        <f>IF($B234="","",IF(IFERROR(VALUE(LEFT(LOWER(LEFT($A234,FIND("|",$A234)-1)),3)),IFERROR(VALUE(LEFT(LOWER(LEFT($A234,FIND("|",$A234)-1)),2)),IFERROR(VALUE(LEFT(LOWER(LEFT($A234,FIND("|",$A234)-1)),1)),-1)))&gt;=0,TEXT(IFERROR(VALUE(LEFT(LOWER(LEFT($A234,FIND("|",$A234)-1)),3)),IFERROR(VALUE(LEFT(LOWER(LEFT($A234,FIND("|",$A234)-1)),2)),IFERROR(VALUE(LEFT(LOWER(LEFT($A234,FIND("|",$A234)-1)),1)),-1))),"000000")&amp;MID(LOWER(LEFT($A234,FIND("|",$A234)-1)),LEN(TEXT(IFERROR(VALUE(LEFT(LOWER(LEFT($A234,FIND("|",$A234)-1)),3)),IFERROR(VALUE(LEFT(LOWER(LEFT($A234,FIND("|",$A234)-1)),2)),IFERROR(VALUE(LEFT(LOWER(LEFT($A234,FIND("|",$A234)-1)),1)),-1))),"0"))+1,99),LOWER(LEFT($A234,FIND("|",$A234)-1)))&amp;CHAR(9)&amp;TEXT(IF(SUBSTITUTE(MID($A234,FIND("|",$A234)+1,50),"'","")="",0,IFERROR(VALUE(SUBSTITUTE(MID($A234,FIND("|",$A234)+1,50),"'","")),999999)),"000000")&amp;CHAR(9)&amp;TEXT($B234,"0000"))</f>
        <v/>
      </c>
      <c r="E234" s="4">
        <f>IF($D234="","",SUMPRODUCT(($D$5:$D$364&lt;&gt;"")*($D$5:$D$364&lt;$D234))+1)</f>
        <v/>
      </c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70">
      <c r="A235" s="4">
        <f t="array" ref="A235">IF(N(INDIRECT("'Pull Sheet'!U57"))&gt;0,INDIRECT("'Pull Sheet'!S57")&amp;"|"&amp;INDIRECT("'Pull Sheet'!T57"),"")</f>
        <v/>
      </c>
      <c r="B235" s="4">
        <f>IF(AND($A235&lt;&gt;"",COUNTIF($A$5:$A235,$A235)=1),MAX($B$4:$B234)+1,"")</f>
        <v/>
      </c>
      <c r="C235" s="4">
        <f t="array" ref="C235">IF($A235="","",N(INDIRECT("'Pull Sheet'!U57")))</f>
        <v/>
      </c>
      <c r="D235" s="4">
        <f>IF($B235="","",IF(IFERROR(VALUE(LEFT(LOWER(LEFT($A235,FIND("|",$A235)-1)),3)),IFERROR(VALUE(LEFT(LOWER(LEFT($A235,FIND("|",$A235)-1)),2)),IFERROR(VALUE(LEFT(LOWER(LEFT($A235,FIND("|",$A235)-1)),1)),-1)))&gt;=0,TEXT(IFERROR(VALUE(LEFT(LOWER(LEFT($A235,FIND("|",$A235)-1)),3)),IFERROR(VALUE(LEFT(LOWER(LEFT($A235,FIND("|",$A235)-1)),2)),IFERROR(VALUE(LEFT(LOWER(LEFT($A235,FIND("|",$A235)-1)),1)),-1))),"000000")&amp;MID(LOWER(LEFT($A235,FIND("|",$A235)-1)),LEN(TEXT(IFERROR(VALUE(LEFT(LOWER(LEFT($A235,FIND("|",$A235)-1)),3)),IFERROR(VALUE(LEFT(LOWER(LEFT($A235,FIND("|",$A235)-1)),2)),IFERROR(VALUE(LEFT(LOWER(LEFT($A235,FIND("|",$A235)-1)),1)),-1))),"0"))+1,99),LOWER(LEFT($A235,FIND("|",$A235)-1)))&amp;CHAR(9)&amp;TEXT(IF(SUBSTITUTE(MID($A235,FIND("|",$A235)+1,50),"'","")="",0,IFERROR(VALUE(SUBSTITUTE(MID($A235,FIND("|",$A235)+1,50),"'","")),999999)),"000000")&amp;CHAR(9)&amp;TEXT($B235,"0000"))</f>
        <v/>
      </c>
      <c r="E235" s="4">
        <f>IF($D235="","",SUMPRODUCT(($D$5:$D$364&lt;&gt;"")*($D$5:$D$364&lt;$D235))+1)</f>
        <v/>
      </c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70">
      <c r="A236" s="4">
        <f t="array" ref="A236">IF(N(INDIRECT("'Pull Sheet'!U58"))&gt;0,INDIRECT("'Pull Sheet'!S58")&amp;"|"&amp;INDIRECT("'Pull Sheet'!T58"),"")</f>
        <v/>
      </c>
      <c r="B236" s="4">
        <f>IF(AND($A236&lt;&gt;"",COUNTIF($A$5:$A236,$A236)=1),MAX($B$4:$B235)+1,"")</f>
        <v/>
      </c>
      <c r="C236" s="4">
        <f t="array" ref="C236">IF($A236="","",N(INDIRECT("'Pull Sheet'!U58")))</f>
        <v/>
      </c>
      <c r="D236" s="4">
        <f>IF($B236="","",IF(IFERROR(VALUE(LEFT(LOWER(LEFT($A236,FIND("|",$A236)-1)),3)),IFERROR(VALUE(LEFT(LOWER(LEFT($A236,FIND("|",$A236)-1)),2)),IFERROR(VALUE(LEFT(LOWER(LEFT($A236,FIND("|",$A236)-1)),1)),-1)))&gt;=0,TEXT(IFERROR(VALUE(LEFT(LOWER(LEFT($A236,FIND("|",$A236)-1)),3)),IFERROR(VALUE(LEFT(LOWER(LEFT($A236,FIND("|",$A236)-1)),2)),IFERROR(VALUE(LEFT(LOWER(LEFT($A236,FIND("|",$A236)-1)),1)),-1))),"000000")&amp;MID(LOWER(LEFT($A236,FIND("|",$A236)-1)),LEN(TEXT(IFERROR(VALUE(LEFT(LOWER(LEFT($A236,FIND("|",$A236)-1)),3)),IFERROR(VALUE(LEFT(LOWER(LEFT($A236,FIND("|",$A236)-1)),2)),IFERROR(VALUE(LEFT(LOWER(LEFT($A236,FIND("|",$A236)-1)),1)),-1))),"0"))+1,99),LOWER(LEFT($A236,FIND("|",$A236)-1)))&amp;CHAR(9)&amp;TEXT(IF(SUBSTITUTE(MID($A236,FIND("|",$A236)+1,50),"'","")="",0,IFERROR(VALUE(SUBSTITUTE(MID($A236,FIND("|",$A236)+1,50),"'","")),999999)),"000000")&amp;CHAR(9)&amp;TEXT($B236,"0000"))</f>
        <v/>
      </c>
      <c r="E236" s="4">
        <f>IF($D236="","",SUMPRODUCT(($D$5:$D$364&lt;&gt;"")*($D$5:$D$364&lt;$D236))+1)</f>
        <v/>
      </c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70">
      <c r="A237" s="4">
        <f t="array" ref="A237">IF(N(INDIRECT("'Pull Sheet'!U59"))&gt;0,INDIRECT("'Pull Sheet'!S59")&amp;"|"&amp;INDIRECT("'Pull Sheet'!T59"),"")</f>
        <v/>
      </c>
      <c r="B237" s="4">
        <f>IF(AND($A237&lt;&gt;"",COUNTIF($A$5:$A237,$A237)=1),MAX($B$4:$B236)+1,"")</f>
        <v/>
      </c>
      <c r="C237" s="4">
        <f t="array" ref="C237">IF($A237="","",N(INDIRECT("'Pull Sheet'!U59")))</f>
        <v/>
      </c>
      <c r="D237" s="4">
        <f>IF($B237="","",IF(IFERROR(VALUE(LEFT(LOWER(LEFT($A237,FIND("|",$A237)-1)),3)),IFERROR(VALUE(LEFT(LOWER(LEFT($A237,FIND("|",$A237)-1)),2)),IFERROR(VALUE(LEFT(LOWER(LEFT($A237,FIND("|",$A237)-1)),1)),-1)))&gt;=0,TEXT(IFERROR(VALUE(LEFT(LOWER(LEFT($A237,FIND("|",$A237)-1)),3)),IFERROR(VALUE(LEFT(LOWER(LEFT($A237,FIND("|",$A237)-1)),2)),IFERROR(VALUE(LEFT(LOWER(LEFT($A237,FIND("|",$A237)-1)),1)),-1))),"000000")&amp;MID(LOWER(LEFT($A237,FIND("|",$A237)-1)),LEN(TEXT(IFERROR(VALUE(LEFT(LOWER(LEFT($A237,FIND("|",$A237)-1)),3)),IFERROR(VALUE(LEFT(LOWER(LEFT($A237,FIND("|",$A237)-1)),2)),IFERROR(VALUE(LEFT(LOWER(LEFT($A237,FIND("|",$A237)-1)),1)),-1))),"0"))+1,99),LOWER(LEFT($A237,FIND("|",$A237)-1)))&amp;CHAR(9)&amp;TEXT(IF(SUBSTITUTE(MID($A237,FIND("|",$A237)+1,50),"'","")="",0,IFERROR(VALUE(SUBSTITUTE(MID($A237,FIND("|",$A237)+1,50),"'","")),999999)),"000000")&amp;CHAR(9)&amp;TEXT($B237,"0000"))</f>
        <v/>
      </c>
      <c r="E237" s="4">
        <f>IF($D237="","",SUMPRODUCT(($D$5:$D$364&lt;&gt;"")*($D$5:$D$364&lt;$D237))+1)</f>
        <v/>
      </c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70">
      <c r="A238" s="4">
        <f t="array" ref="A238">IF(N(INDIRECT("'Pull Sheet'!U60"))&gt;0,INDIRECT("'Pull Sheet'!S60")&amp;"|"&amp;INDIRECT("'Pull Sheet'!T60"),"")</f>
        <v/>
      </c>
      <c r="B238" s="4">
        <f>IF(AND($A238&lt;&gt;"",COUNTIF($A$5:$A238,$A238)=1),MAX($B$4:$B237)+1,"")</f>
        <v/>
      </c>
      <c r="C238" s="4">
        <f t="array" ref="C238">IF($A238="","",N(INDIRECT("'Pull Sheet'!U60")))</f>
        <v/>
      </c>
      <c r="D238" s="4">
        <f>IF($B238="","",IF(IFERROR(VALUE(LEFT(LOWER(LEFT($A238,FIND("|",$A238)-1)),3)),IFERROR(VALUE(LEFT(LOWER(LEFT($A238,FIND("|",$A238)-1)),2)),IFERROR(VALUE(LEFT(LOWER(LEFT($A238,FIND("|",$A238)-1)),1)),-1)))&gt;=0,TEXT(IFERROR(VALUE(LEFT(LOWER(LEFT($A238,FIND("|",$A238)-1)),3)),IFERROR(VALUE(LEFT(LOWER(LEFT($A238,FIND("|",$A238)-1)),2)),IFERROR(VALUE(LEFT(LOWER(LEFT($A238,FIND("|",$A238)-1)),1)),-1))),"000000")&amp;MID(LOWER(LEFT($A238,FIND("|",$A238)-1)),LEN(TEXT(IFERROR(VALUE(LEFT(LOWER(LEFT($A238,FIND("|",$A238)-1)),3)),IFERROR(VALUE(LEFT(LOWER(LEFT($A238,FIND("|",$A238)-1)),2)),IFERROR(VALUE(LEFT(LOWER(LEFT($A238,FIND("|",$A238)-1)),1)),-1))),"0"))+1,99),LOWER(LEFT($A238,FIND("|",$A238)-1)))&amp;CHAR(9)&amp;TEXT(IF(SUBSTITUTE(MID($A238,FIND("|",$A238)+1,50),"'","")="",0,IFERROR(VALUE(SUBSTITUTE(MID($A238,FIND("|",$A238)+1,50),"'","")),999999)),"000000")&amp;CHAR(9)&amp;TEXT($B238,"0000"))</f>
        <v/>
      </c>
      <c r="E238" s="4">
        <f>IF($D238="","",SUMPRODUCT(($D$5:$D$364&lt;&gt;"")*($D$5:$D$364&lt;$D238))+1)</f>
        <v/>
      </c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70">
      <c r="A239" s="4">
        <f t="array" ref="A239">IF(N(INDIRECT("'Pull Sheet'!U61"))&gt;0,INDIRECT("'Pull Sheet'!S61")&amp;"|"&amp;INDIRECT("'Pull Sheet'!T61"),"")</f>
        <v/>
      </c>
      <c r="B239" s="4">
        <f>IF(AND($A239&lt;&gt;"",COUNTIF($A$5:$A239,$A239)=1),MAX($B$4:$B238)+1,"")</f>
        <v/>
      </c>
      <c r="C239" s="4">
        <f t="array" ref="C239">IF($A239="","",N(INDIRECT("'Pull Sheet'!U61")))</f>
        <v/>
      </c>
      <c r="D239" s="4">
        <f>IF($B239="","",IF(IFERROR(VALUE(LEFT(LOWER(LEFT($A239,FIND("|",$A239)-1)),3)),IFERROR(VALUE(LEFT(LOWER(LEFT($A239,FIND("|",$A239)-1)),2)),IFERROR(VALUE(LEFT(LOWER(LEFT($A239,FIND("|",$A239)-1)),1)),-1)))&gt;=0,TEXT(IFERROR(VALUE(LEFT(LOWER(LEFT($A239,FIND("|",$A239)-1)),3)),IFERROR(VALUE(LEFT(LOWER(LEFT($A239,FIND("|",$A239)-1)),2)),IFERROR(VALUE(LEFT(LOWER(LEFT($A239,FIND("|",$A239)-1)),1)),-1))),"000000")&amp;MID(LOWER(LEFT($A239,FIND("|",$A239)-1)),LEN(TEXT(IFERROR(VALUE(LEFT(LOWER(LEFT($A239,FIND("|",$A239)-1)),3)),IFERROR(VALUE(LEFT(LOWER(LEFT($A239,FIND("|",$A239)-1)),2)),IFERROR(VALUE(LEFT(LOWER(LEFT($A239,FIND("|",$A239)-1)),1)),-1))),"0"))+1,99),LOWER(LEFT($A239,FIND("|",$A239)-1)))&amp;CHAR(9)&amp;TEXT(IF(SUBSTITUTE(MID($A239,FIND("|",$A239)+1,50),"'","")="",0,IFERROR(VALUE(SUBSTITUTE(MID($A239,FIND("|",$A239)+1,50),"'","")),999999)),"000000")&amp;CHAR(9)&amp;TEXT($B239,"0000"))</f>
        <v/>
      </c>
      <c r="E239" s="4">
        <f>IF($D239="","",SUMPRODUCT(($D$5:$D$364&lt;&gt;"")*($D$5:$D$364&lt;$D239))+1)</f>
        <v/>
      </c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70">
      <c r="A240" s="4">
        <f t="array" ref="A240">IF(N(INDIRECT("'Pull Sheet'!U62"))&gt;0,INDIRECT("'Pull Sheet'!S62")&amp;"|"&amp;INDIRECT("'Pull Sheet'!T62"),"")</f>
        <v/>
      </c>
      <c r="B240" s="4">
        <f>IF(AND($A240&lt;&gt;"",COUNTIF($A$5:$A240,$A240)=1),MAX($B$4:$B239)+1,"")</f>
        <v/>
      </c>
      <c r="C240" s="4">
        <f t="array" ref="C240">IF($A240="","",N(INDIRECT("'Pull Sheet'!U62")))</f>
        <v/>
      </c>
      <c r="D240" s="4">
        <f>IF($B240="","",IF(IFERROR(VALUE(LEFT(LOWER(LEFT($A240,FIND("|",$A240)-1)),3)),IFERROR(VALUE(LEFT(LOWER(LEFT($A240,FIND("|",$A240)-1)),2)),IFERROR(VALUE(LEFT(LOWER(LEFT($A240,FIND("|",$A240)-1)),1)),-1)))&gt;=0,TEXT(IFERROR(VALUE(LEFT(LOWER(LEFT($A240,FIND("|",$A240)-1)),3)),IFERROR(VALUE(LEFT(LOWER(LEFT($A240,FIND("|",$A240)-1)),2)),IFERROR(VALUE(LEFT(LOWER(LEFT($A240,FIND("|",$A240)-1)),1)),-1))),"000000")&amp;MID(LOWER(LEFT($A240,FIND("|",$A240)-1)),LEN(TEXT(IFERROR(VALUE(LEFT(LOWER(LEFT($A240,FIND("|",$A240)-1)),3)),IFERROR(VALUE(LEFT(LOWER(LEFT($A240,FIND("|",$A240)-1)),2)),IFERROR(VALUE(LEFT(LOWER(LEFT($A240,FIND("|",$A240)-1)),1)),-1))),"0"))+1,99),LOWER(LEFT($A240,FIND("|",$A240)-1)))&amp;CHAR(9)&amp;TEXT(IF(SUBSTITUTE(MID($A240,FIND("|",$A240)+1,50),"'","")="",0,IFERROR(VALUE(SUBSTITUTE(MID($A240,FIND("|",$A240)+1,50),"'","")),999999)),"000000")&amp;CHAR(9)&amp;TEXT($B240,"0000"))</f>
        <v/>
      </c>
      <c r="E240" s="4">
        <f>IF($D240="","",SUMPRODUCT(($D$5:$D$364&lt;&gt;"")*($D$5:$D$364&lt;$D240))+1)</f>
        <v/>
      </c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70">
      <c r="A241" s="4">
        <f t="array" ref="A241">IF(N(INDIRECT("'Pull Sheet'!U63"))&gt;0,INDIRECT("'Pull Sheet'!S63")&amp;"|"&amp;INDIRECT("'Pull Sheet'!T63"),"")</f>
        <v/>
      </c>
      <c r="B241" s="4">
        <f>IF(AND($A241&lt;&gt;"",COUNTIF($A$5:$A241,$A241)=1),MAX($B$4:$B240)+1,"")</f>
        <v/>
      </c>
      <c r="C241" s="4">
        <f t="array" ref="C241">IF($A241="","",N(INDIRECT("'Pull Sheet'!U63")))</f>
        <v/>
      </c>
      <c r="D241" s="4">
        <f>IF($B241="","",IF(IFERROR(VALUE(LEFT(LOWER(LEFT($A241,FIND("|",$A241)-1)),3)),IFERROR(VALUE(LEFT(LOWER(LEFT($A241,FIND("|",$A241)-1)),2)),IFERROR(VALUE(LEFT(LOWER(LEFT($A241,FIND("|",$A241)-1)),1)),-1)))&gt;=0,TEXT(IFERROR(VALUE(LEFT(LOWER(LEFT($A241,FIND("|",$A241)-1)),3)),IFERROR(VALUE(LEFT(LOWER(LEFT($A241,FIND("|",$A241)-1)),2)),IFERROR(VALUE(LEFT(LOWER(LEFT($A241,FIND("|",$A241)-1)),1)),-1))),"000000")&amp;MID(LOWER(LEFT($A241,FIND("|",$A241)-1)),LEN(TEXT(IFERROR(VALUE(LEFT(LOWER(LEFT($A241,FIND("|",$A241)-1)),3)),IFERROR(VALUE(LEFT(LOWER(LEFT($A241,FIND("|",$A241)-1)),2)),IFERROR(VALUE(LEFT(LOWER(LEFT($A241,FIND("|",$A241)-1)),1)),-1))),"0"))+1,99),LOWER(LEFT($A241,FIND("|",$A241)-1)))&amp;CHAR(9)&amp;TEXT(IF(SUBSTITUTE(MID($A241,FIND("|",$A241)+1,50),"'","")="",0,IFERROR(VALUE(SUBSTITUTE(MID($A241,FIND("|",$A241)+1,50),"'","")),999999)),"000000")&amp;CHAR(9)&amp;TEXT($B241,"0000"))</f>
        <v/>
      </c>
      <c r="E241" s="4">
        <f>IF($D241="","",SUMPRODUCT(($D$5:$D$364&lt;&gt;"")*($D$5:$D$364&lt;$D241))+1)</f>
        <v/>
      </c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70">
      <c r="A242" s="4">
        <f t="array" ref="A242">IF(N(INDIRECT("'Pull Sheet'!U64"))&gt;0,INDIRECT("'Pull Sheet'!S64")&amp;"|"&amp;INDIRECT("'Pull Sheet'!T64"),"")</f>
        <v/>
      </c>
      <c r="B242" s="4">
        <f>IF(AND($A242&lt;&gt;"",COUNTIF($A$5:$A242,$A242)=1),MAX($B$4:$B241)+1,"")</f>
        <v/>
      </c>
      <c r="C242" s="4">
        <f t="array" ref="C242">IF($A242="","",N(INDIRECT("'Pull Sheet'!U64")))</f>
        <v/>
      </c>
      <c r="D242" s="4">
        <f>IF($B242="","",IF(IFERROR(VALUE(LEFT(LOWER(LEFT($A242,FIND("|",$A242)-1)),3)),IFERROR(VALUE(LEFT(LOWER(LEFT($A242,FIND("|",$A242)-1)),2)),IFERROR(VALUE(LEFT(LOWER(LEFT($A242,FIND("|",$A242)-1)),1)),-1)))&gt;=0,TEXT(IFERROR(VALUE(LEFT(LOWER(LEFT($A242,FIND("|",$A242)-1)),3)),IFERROR(VALUE(LEFT(LOWER(LEFT($A242,FIND("|",$A242)-1)),2)),IFERROR(VALUE(LEFT(LOWER(LEFT($A242,FIND("|",$A242)-1)),1)),-1))),"000000")&amp;MID(LOWER(LEFT($A242,FIND("|",$A242)-1)),LEN(TEXT(IFERROR(VALUE(LEFT(LOWER(LEFT($A242,FIND("|",$A242)-1)),3)),IFERROR(VALUE(LEFT(LOWER(LEFT($A242,FIND("|",$A242)-1)),2)),IFERROR(VALUE(LEFT(LOWER(LEFT($A242,FIND("|",$A242)-1)),1)),-1))),"0"))+1,99),LOWER(LEFT($A242,FIND("|",$A242)-1)))&amp;CHAR(9)&amp;TEXT(IF(SUBSTITUTE(MID($A242,FIND("|",$A242)+1,50),"'","")="",0,IFERROR(VALUE(SUBSTITUTE(MID($A242,FIND("|",$A242)+1,50),"'","")),999999)),"000000")&amp;CHAR(9)&amp;TEXT($B242,"0000"))</f>
        <v/>
      </c>
      <c r="E242" s="4">
        <f>IF($D242="","",SUMPRODUCT(($D$5:$D$364&lt;&gt;"")*($D$5:$D$364&lt;$D242))+1)</f>
        <v/>
      </c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70">
      <c r="A243" s="4">
        <f t="array" ref="A243">IF(N(INDIRECT("'Pull Sheet'!U65"))&gt;0,INDIRECT("'Pull Sheet'!S65")&amp;"|"&amp;INDIRECT("'Pull Sheet'!T65"),"")</f>
        <v/>
      </c>
      <c r="B243" s="4">
        <f>IF(AND($A243&lt;&gt;"",COUNTIF($A$5:$A243,$A243)=1),MAX($B$4:$B242)+1,"")</f>
        <v/>
      </c>
      <c r="C243" s="4">
        <f t="array" ref="C243">IF($A243="","",N(INDIRECT("'Pull Sheet'!U65")))</f>
        <v/>
      </c>
      <c r="D243" s="4">
        <f>IF($B243="","",IF(IFERROR(VALUE(LEFT(LOWER(LEFT($A243,FIND("|",$A243)-1)),3)),IFERROR(VALUE(LEFT(LOWER(LEFT($A243,FIND("|",$A243)-1)),2)),IFERROR(VALUE(LEFT(LOWER(LEFT($A243,FIND("|",$A243)-1)),1)),-1)))&gt;=0,TEXT(IFERROR(VALUE(LEFT(LOWER(LEFT($A243,FIND("|",$A243)-1)),3)),IFERROR(VALUE(LEFT(LOWER(LEFT($A243,FIND("|",$A243)-1)),2)),IFERROR(VALUE(LEFT(LOWER(LEFT($A243,FIND("|",$A243)-1)),1)),-1))),"000000")&amp;MID(LOWER(LEFT($A243,FIND("|",$A243)-1)),LEN(TEXT(IFERROR(VALUE(LEFT(LOWER(LEFT($A243,FIND("|",$A243)-1)),3)),IFERROR(VALUE(LEFT(LOWER(LEFT($A243,FIND("|",$A243)-1)),2)),IFERROR(VALUE(LEFT(LOWER(LEFT($A243,FIND("|",$A243)-1)),1)),-1))),"0"))+1,99),LOWER(LEFT($A243,FIND("|",$A243)-1)))&amp;CHAR(9)&amp;TEXT(IF(SUBSTITUTE(MID($A243,FIND("|",$A243)+1,50),"'","")="",0,IFERROR(VALUE(SUBSTITUTE(MID($A243,FIND("|",$A243)+1,50),"'","")),999999)),"000000")&amp;CHAR(9)&amp;TEXT($B243,"0000"))</f>
        <v/>
      </c>
      <c r="E243" s="4">
        <f>IF($D243="","",SUMPRODUCT(($D$5:$D$364&lt;&gt;"")*($D$5:$D$364&lt;$D243))+1)</f>
        <v/>
      </c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70">
      <c r="A244" s="4">
        <f t="array" ref="A244">IF(N(INDIRECT("'Pull Sheet'!U66"))&gt;0,INDIRECT("'Pull Sheet'!S66")&amp;"|"&amp;INDIRECT("'Pull Sheet'!T66"),"")</f>
        <v/>
      </c>
      <c r="B244" s="4">
        <f>IF(AND($A244&lt;&gt;"",COUNTIF($A$5:$A244,$A244)=1),MAX($B$4:$B243)+1,"")</f>
        <v/>
      </c>
      <c r="C244" s="4">
        <f t="array" ref="C244">IF($A244="","",N(INDIRECT("'Pull Sheet'!U66")))</f>
        <v/>
      </c>
      <c r="D244" s="4">
        <f>IF($B244="","",IF(IFERROR(VALUE(LEFT(LOWER(LEFT($A244,FIND("|",$A244)-1)),3)),IFERROR(VALUE(LEFT(LOWER(LEFT($A244,FIND("|",$A244)-1)),2)),IFERROR(VALUE(LEFT(LOWER(LEFT($A244,FIND("|",$A244)-1)),1)),-1)))&gt;=0,TEXT(IFERROR(VALUE(LEFT(LOWER(LEFT($A244,FIND("|",$A244)-1)),3)),IFERROR(VALUE(LEFT(LOWER(LEFT($A244,FIND("|",$A244)-1)),2)),IFERROR(VALUE(LEFT(LOWER(LEFT($A244,FIND("|",$A244)-1)),1)),-1))),"000000")&amp;MID(LOWER(LEFT($A244,FIND("|",$A244)-1)),LEN(TEXT(IFERROR(VALUE(LEFT(LOWER(LEFT($A244,FIND("|",$A244)-1)),3)),IFERROR(VALUE(LEFT(LOWER(LEFT($A244,FIND("|",$A244)-1)),2)),IFERROR(VALUE(LEFT(LOWER(LEFT($A244,FIND("|",$A244)-1)),1)),-1))),"0"))+1,99),LOWER(LEFT($A244,FIND("|",$A244)-1)))&amp;CHAR(9)&amp;TEXT(IF(SUBSTITUTE(MID($A244,FIND("|",$A244)+1,50),"'","")="",0,IFERROR(VALUE(SUBSTITUTE(MID($A244,FIND("|",$A244)+1,50),"'","")),999999)),"000000")&amp;CHAR(9)&amp;TEXT($B244,"0000"))</f>
        <v/>
      </c>
      <c r="E244" s="4">
        <f>IF($D244="","",SUMPRODUCT(($D$5:$D$364&lt;&gt;"")*($D$5:$D$364&lt;$D244))+1)</f>
        <v/>
      </c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70">
      <c r="A245" s="4">
        <f t="array" ref="A245">IF(N(INDIRECT("'Pull Sheet'!AA7"))&gt;0,INDIRECT("'Pull Sheet'!Y7")&amp;"|"&amp;INDIRECT("'Pull Sheet'!Z7"),"")</f>
        <v/>
      </c>
      <c r="B245" s="4">
        <f>IF(AND($A245&lt;&gt;"",COUNTIF($A$5:$A245,$A245)=1),MAX($B$4:$B244)+1,"")</f>
        <v/>
      </c>
      <c r="C245" s="4">
        <f t="array" ref="C245">IF($A245="","",N(INDIRECT("'Pull Sheet'!AA7")))</f>
        <v/>
      </c>
      <c r="D245" s="4">
        <f>IF($B245="","",IF(IFERROR(VALUE(LEFT(LOWER(LEFT($A245,FIND("|",$A245)-1)),3)),IFERROR(VALUE(LEFT(LOWER(LEFT($A245,FIND("|",$A245)-1)),2)),IFERROR(VALUE(LEFT(LOWER(LEFT($A245,FIND("|",$A245)-1)),1)),-1)))&gt;=0,TEXT(IFERROR(VALUE(LEFT(LOWER(LEFT($A245,FIND("|",$A245)-1)),3)),IFERROR(VALUE(LEFT(LOWER(LEFT($A245,FIND("|",$A245)-1)),2)),IFERROR(VALUE(LEFT(LOWER(LEFT($A245,FIND("|",$A245)-1)),1)),-1))),"000000")&amp;MID(LOWER(LEFT($A245,FIND("|",$A245)-1)),LEN(TEXT(IFERROR(VALUE(LEFT(LOWER(LEFT($A245,FIND("|",$A245)-1)),3)),IFERROR(VALUE(LEFT(LOWER(LEFT($A245,FIND("|",$A245)-1)),2)),IFERROR(VALUE(LEFT(LOWER(LEFT($A245,FIND("|",$A245)-1)),1)),-1))),"0"))+1,99),LOWER(LEFT($A245,FIND("|",$A245)-1)))&amp;CHAR(9)&amp;TEXT(IF(SUBSTITUTE(MID($A245,FIND("|",$A245)+1,50),"'","")="",0,IFERROR(VALUE(SUBSTITUTE(MID($A245,FIND("|",$A245)+1,50),"'","")),999999)),"000000")&amp;CHAR(9)&amp;TEXT($B245,"0000"))</f>
        <v/>
      </c>
      <c r="E245" s="4">
        <f>IF($D245="","",SUMPRODUCT(($D$5:$D$364&lt;&gt;"")*($D$5:$D$364&lt;$D245))+1)</f>
        <v/>
      </c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70">
      <c r="A246" s="4">
        <f t="array" ref="A246">IF(N(INDIRECT("'Pull Sheet'!AA8"))&gt;0,INDIRECT("'Pull Sheet'!Y8")&amp;"|"&amp;INDIRECT("'Pull Sheet'!Z8"),"")</f>
        <v/>
      </c>
      <c r="B246" s="4">
        <f>IF(AND($A246&lt;&gt;"",COUNTIF($A$5:$A246,$A246)=1),MAX($B$4:$B245)+1,"")</f>
        <v/>
      </c>
      <c r="C246" s="4">
        <f t="array" ref="C246">IF($A246="","",N(INDIRECT("'Pull Sheet'!AA8")))</f>
        <v/>
      </c>
      <c r="D246" s="4">
        <f>IF($B246="","",IF(IFERROR(VALUE(LEFT(LOWER(LEFT($A246,FIND("|",$A246)-1)),3)),IFERROR(VALUE(LEFT(LOWER(LEFT($A246,FIND("|",$A246)-1)),2)),IFERROR(VALUE(LEFT(LOWER(LEFT($A246,FIND("|",$A246)-1)),1)),-1)))&gt;=0,TEXT(IFERROR(VALUE(LEFT(LOWER(LEFT($A246,FIND("|",$A246)-1)),3)),IFERROR(VALUE(LEFT(LOWER(LEFT($A246,FIND("|",$A246)-1)),2)),IFERROR(VALUE(LEFT(LOWER(LEFT($A246,FIND("|",$A246)-1)),1)),-1))),"000000")&amp;MID(LOWER(LEFT($A246,FIND("|",$A246)-1)),LEN(TEXT(IFERROR(VALUE(LEFT(LOWER(LEFT($A246,FIND("|",$A246)-1)),3)),IFERROR(VALUE(LEFT(LOWER(LEFT($A246,FIND("|",$A246)-1)),2)),IFERROR(VALUE(LEFT(LOWER(LEFT($A246,FIND("|",$A246)-1)),1)),-1))),"0"))+1,99),LOWER(LEFT($A246,FIND("|",$A246)-1)))&amp;CHAR(9)&amp;TEXT(IF(SUBSTITUTE(MID($A246,FIND("|",$A246)+1,50),"'","")="",0,IFERROR(VALUE(SUBSTITUTE(MID($A246,FIND("|",$A246)+1,50),"'","")),999999)),"000000")&amp;CHAR(9)&amp;TEXT($B246,"0000"))</f>
        <v/>
      </c>
      <c r="E246" s="4">
        <f>IF($D246="","",SUMPRODUCT(($D$5:$D$364&lt;&gt;"")*($D$5:$D$364&lt;$D246))+1)</f>
        <v/>
      </c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70">
      <c r="A247" s="4">
        <f t="array" ref="A247">IF(N(INDIRECT("'Pull Sheet'!AA9"))&gt;0,INDIRECT("'Pull Sheet'!Y9")&amp;"|"&amp;INDIRECT("'Pull Sheet'!Z9"),"")</f>
        <v/>
      </c>
      <c r="B247" s="4">
        <f>IF(AND($A247&lt;&gt;"",COUNTIF($A$5:$A247,$A247)=1),MAX($B$4:$B246)+1,"")</f>
        <v/>
      </c>
      <c r="C247" s="4">
        <f t="array" ref="C247">IF($A247="","",N(INDIRECT("'Pull Sheet'!AA9")))</f>
        <v/>
      </c>
      <c r="D247" s="4">
        <f>IF($B247="","",IF(IFERROR(VALUE(LEFT(LOWER(LEFT($A247,FIND("|",$A247)-1)),3)),IFERROR(VALUE(LEFT(LOWER(LEFT($A247,FIND("|",$A247)-1)),2)),IFERROR(VALUE(LEFT(LOWER(LEFT($A247,FIND("|",$A247)-1)),1)),-1)))&gt;=0,TEXT(IFERROR(VALUE(LEFT(LOWER(LEFT($A247,FIND("|",$A247)-1)),3)),IFERROR(VALUE(LEFT(LOWER(LEFT($A247,FIND("|",$A247)-1)),2)),IFERROR(VALUE(LEFT(LOWER(LEFT($A247,FIND("|",$A247)-1)),1)),-1))),"000000")&amp;MID(LOWER(LEFT($A247,FIND("|",$A247)-1)),LEN(TEXT(IFERROR(VALUE(LEFT(LOWER(LEFT($A247,FIND("|",$A247)-1)),3)),IFERROR(VALUE(LEFT(LOWER(LEFT($A247,FIND("|",$A247)-1)),2)),IFERROR(VALUE(LEFT(LOWER(LEFT($A247,FIND("|",$A247)-1)),1)),-1))),"0"))+1,99),LOWER(LEFT($A247,FIND("|",$A247)-1)))&amp;CHAR(9)&amp;TEXT(IF(SUBSTITUTE(MID($A247,FIND("|",$A247)+1,50),"'","")="",0,IFERROR(VALUE(SUBSTITUTE(MID($A247,FIND("|",$A247)+1,50),"'","")),999999)),"000000")&amp;CHAR(9)&amp;TEXT($B247,"0000"))</f>
        <v/>
      </c>
      <c r="E247" s="4">
        <f>IF($D247="","",SUMPRODUCT(($D$5:$D$364&lt;&gt;"")*($D$5:$D$364&lt;$D247))+1)</f>
        <v/>
      </c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70">
      <c r="A248" s="4">
        <f t="array" ref="A248">IF(N(INDIRECT("'Pull Sheet'!AA10"))&gt;0,INDIRECT("'Pull Sheet'!Y10")&amp;"|"&amp;INDIRECT("'Pull Sheet'!Z10"),"")</f>
        <v/>
      </c>
      <c r="B248" s="4">
        <f>IF(AND($A248&lt;&gt;"",COUNTIF($A$5:$A248,$A248)=1),MAX($B$4:$B247)+1,"")</f>
        <v/>
      </c>
      <c r="C248" s="4">
        <f t="array" ref="C248">IF($A248="","",N(INDIRECT("'Pull Sheet'!AA10")))</f>
        <v/>
      </c>
      <c r="D248" s="4">
        <f>IF($B248="","",IF(IFERROR(VALUE(LEFT(LOWER(LEFT($A248,FIND("|",$A248)-1)),3)),IFERROR(VALUE(LEFT(LOWER(LEFT($A248,FIND("|",$A248)-1)),2)),IFERROR(VALUE(LEFT(LOWER(LEFT($A248,FIND("|",$A248)-1)),1)),-1)))&gt;=0,TEXT(IFERROR(VALUE(LEFT(LOWER(LEFT($A248,FIND("|",$A248)-1)),3)),IFERROR(VALUE(LEFT(LOWER(LEFT($A248,FIND("|",$A248)-1)),2)),IFERROR(VALUE(LEFT(LOWER(LEFT($A248,FIND("|",$A248)-1)),1)),-1))),"000000")&amp;MID(LOWER(LEFT($A248,FIND("|",$A248)-1)),LEN(TEXT(IFERROR(VALUE(LEFT(LOWER(LEFT($A248,FIND("|",$A248)-1)),3)),IFERROR(VALUE(LEFT(LOWER(LEFT($A248,FIND("|",$A248)-1)),2)),IFERROR(VALUE(LEFT(LOWER(LEFT($A248,FIND("|",$A248)-1)),1)),-1))),"0"))+1,99),LOWER(LEFT($A248,FIND("|",$A248)-1)))&amp;CHAR(9)&amp;TEXT(IF(SUBSTITUTE(MID($A248,FIND("|",$A248)+1,50),"'","")="",0,IFERROR(VALUE(SUBSTITUTE(MID($A248,FIND("|",$A248)+1,50),"'","")),999999)),"000000")&amp;CHAR(9)&amp;TEXT($B248,"0000"))</f>
        <v/>
      </c>
      <c r="E248" s="4">
        <f>IF($D248="","",SUMPRODUCT(($D$5:$D$364&lt;&gt;"")*($D$5:$D$364&lt;$D248))+1)</f>
        <v/>
      </c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70">
      <c r="A249" s="4">
        <f t="array" ref="A249">IF(N(INDIRECT("'Pull Sheet'!AA11"))&gt;0,INDIRECT("'Pull Sheet'!Y11")&amp;"|"&amp;INDIRECT("'Pull Sheet'!Z11"),"")</f>
        <v/>
      </c>
      <c r="B249" s="4">
        <f>IF(AND($A249&lt;&gt;"",COUNTIF($A$5:$A249,$A249)=1),MAX($B$4:$B248)+1,"")</f>
        <v/>
      </c>
      <c r="C249" s="4">
        <f t="array" ref="C249">IF($A249="","",N(INDIRECT("'Pull Sheet'!AA11")))</f>
        <v/>
      </c>
      <c r="D249" s="4">
        <f>IF($B249="","",IF(IFERROR(VALUE(LEFT(LOWER(LEFT($A249,FIND("|",$A249)-1)),3)),IFERROR(VALUE(LEFT(LOWER(LEFT($A249,FIND("|",$A249)-1)),2)),IFERROR(VALUE(LEFT(LOWER(LEFT($A249,FIND("|",$A249)-1)),1)),-1)))&gt;=0,TEXT(IFERROR(VALUE(LEFT(LOWER(LEFT($A249,FIND("|",$A249)-1)),3)),IFERROR(VALUE(LEFT(LOWER(LEFT($A249,FIND("|",$A249)-1)),2)),IFERROR(VALUE(LEFT(LOWER(LEFT($A249,FIND("|",$A249)-1)),1)),-1))),"000000")&amp;MID(LOWER(LEFT($A249,FIND("|",$A249)-1)),LEN(TEXT(IFERROR(VALUE(LEFT(LOWER(LEFT($A249,FIND("|",$A249)-1)),3)),IFERROR(VALUE(LEFT(LOWER(LEFT($A249,FIND("|",$A249)-1)),2)),IFERROR(VALUE(LEFT(LOWER(LEFT($A249,FIND("|",$A249)-1)),1)),-1))),"0"))+1,99),LOWER(LEFT($A249,FIND("|",$A249)-1)))&amp;CHAR(9)&amp;TEXT(IF(SUBSTITUTE(MID($A249,FIND("|",$A249)+1,50),"'","")="",0,IFERROR(VALUE(SUBSTITUTE(MID($A249,FIND("|",$A249)+1,50),"'","")),999999)),"000000")&amp;CHAR(9)&amp;TEXT($B249,"0000"))</f>
        <v/>
      </c>
      <c r="E249" s="4">
        <f>IF($D249="","",SUMPRODUCT(($D$5:$D$364&lt;&gt;"")*($D$5:$D$364&lt;$D249))+1)</f>
        <v/>
      </c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70">
      <c r="A250" s="4">
        <f t="array" ref="A250">IF(N(INDIRECT("'Pull Sheet'!AA12"))&gt;0,INDIRECT("'Pull Sheet'!Y12")&amp;"|"&amp;INDIRECT("'Pull Sheet'!Z12"),"")</f>
        <v/>
      </c>
      <c r="B250" s="4">
        <f>IF(AND($A250&lt;&gt;"",COUNTIF($A$5:$A250,$A250)=1),MAX($B$4:$B249)+1,"")</f>
        <v/>
      </c>
      <c r="C250" s="4">
        <f t="array" ref="C250">IF($A250="","",N(INDIRECT("'Pull Sheet'!AA12")))</f>
        <v/>
      </c>
      <c r="D250" s="4">
        <f>IF($B250="","",IF(IFERROR(VALUE(LEFT(LOWER(LEFT($A250,FIND("|",$A250)-1)),3)),IFERROR(VALUE(LEFT(LOWER(LEFT($A250,FIND("|",$A250)-1)),2)),IFERROR(VALUE(LEFT(LOWER(LEFT($A250,FIND("|",$A250)-1)),1)),-1)))&gt;=0,TEXT(IFERROR(VALUE(LEFT(LOWER(LEFT($A250,FIND("|",$A250)-1)),3)),IFERROR(VALUE(LEFT(LOWER(LEFT($A250,FIND("|",$A250)-1)),2)),IFERROR(VALUE(LEFT(LOWER(LEFT($A250,FIND("|",$A250)-1)),1)),-1))),"000000")&amp;MID(LOWER(LEFT($A250,FIND("|",$A250)-1)),LEN(TEXT(IFERROR(VALUE(LEFT(LOWER(LEFT($A250,FIND("|",$A250)-1)),3)),IFERROR(VALUE(LEFT(LOWER(LEFT($A250,FIND("|",$A250)-1)),2)),IFERROR(VALUE(LEFT(LOWER(LEFT($A250,FIND("|",$A250)-1)),1)),-1))),"0"))+1,99),LOWER(LEFT($A250,FIND("|",$A250)-1)))&amp;CHAR(9)&amp;TEXT(IF(SUBSTITUTE(MID($A250,FIND("|",$A250)+1,50),"'","")="",0,IFERROR(VALUE(SUBSTITUTE(MID($A250,FIND("|",$A250)+1,50),"'","")),999999)),"000000")&amp;CHAR(9)&amp;TEXT($B250,"0000"))</f>
        <v/>
      </c>
      <c r="E250" s="4">
        <f>IF($D250="","",SUMPRODUCT(($D$5:$D$364&lt;&gt;"")*($D$5:$D$364&lt;$D250))+1)</f>
        <v/>
      </c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70">
      <c r="A251" s="4">
        <f t="array" ref="A251">IF(N(INDIRECT("'Pull Sheet'!AA13"))&gt;0,INDIRECT("'Pull Sheet'!Y13")&amp;"|"&amp;INDIRECT("'Pull Sheet'!Z13"),"")</f>
        <v/>
      </c>
      <c r="B251" s="4">
        <f>IF(AND($A251&lt;&gt;"",COUNTIF($A$5:$A251,$A251)=1),MAX($B$4:$B250)+1,"")</f>
        <v/>
      </c>
      <c r="C251" s="4">
        <f t="array" ref="C251">IF($A251="","",N(INDIRECT("'Pull Sheet'!AA13")))</f>
        <v/>
      </c>
      <c r="D251" s="4">
        <f>IF($B251="","",IF(IFERROR(VALUE(LEFT(LOWER(LEFT($A251,FIND("|",$A251)-1)),3)),IFERROR(VALUE(LEFT(LOWER(LEFT($A251,FIND("|",$A251)-1)),2)),IFERROR(VALUE(LEFT(LOWER(LEFT($A251,FIND("|",$A251)-1)),1)),-1)))&gt;=0,TEXT(IFERROR(VALUE(LEFT(LOWER(LEFT($A251,FIND("|",$A251)-1)),3)),IFERROR(VALUE(LEFT(LOWER(LEFT($A251,FIND("|",$A251)-1)),2)),IFERROR(VALUE(LEFT(LOWER(LEFT($A251,FIND("|",$A251)-1)),1)),-1))),"000000")&amp;MID(LOWER(LEFT($A251,FIND("|",$A251)-1)),LEN(TEXT(IFERROR(VALUE(LEFT(LOWER(LEFT($A251,FIND("|",$A251)-1)),3)),IFERROR(VALUE(LEFT(LOWER(LEFT($A251,FIND("|",$A251)-1)),2)),IFERROR(VALUE(LEFT(LOWER(LEFT($A251,FIND("|",$A251)-1)),1)),-1))),"0"))+1,99),LOWER(LEFT($A251,FIND("|",$A251)-1)))&amp;CHAR(9)&amp;TEXT(IF(SUBSTITUTE(MID($A251,FIND("|",$A251)+1,50),"'","")="",0,IFERROR(VALUE(SUBSTITUTE(MID($A251,FIND("|",$A251)+1,50),"'","")),999999)),"000000")&amp;CHAR(9)&amp;TEXT($B251,"0000"))</f>
        <v/>
      </c>
      <c r="E251" s="4">
        <f>IF($D251="","",SUMPRODUCT(($D$5:$D$364&lt;&gt;"")*($D$5:$D$364&lt;$D251))+1)</f>
        <v/>
      </c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70">
      <c r="A252" s="4">
        <f t="array" ref="A252">IF(N(INDIRECT("'Pull Sheet'!AA14"))&gt;0,INDIRECT("'Pull Sheet'!Y14")&amp;"|"&amp;INDIRECT("'Pull Sheet'!Z14"),"")</f>
        <v/>
      </c>
      <c r="B252" s="4">
        <f>IF(AND($A252&lt;&gt;"",COUNTIF($A$5:$A252,$A252)=1),MAX($B$4:$B251)+1,"")</f>
        <v/>
      </c>
      <c r="C252" s="4">
        <f t="array" ref="C252">IF($A252="","",N(INDIRECT("'Pull Sheet'!AA14")))</f>
        <v/>
      </c>
      <c r="D252" s="4">
        <f>IF($B252="","",IF(IFERROR(VALUE(LEFT(LOWER(LEFT($A252,FIND("|",$A252)-1)),3)),IFERROR(VALUE(LEFT(LOWER(LEFT($A252,FIND("|",$A252)-1)),2)),IFERROR(VALUE(LEFT(LOWER(LEFT($A252,FIND("|",$A252)-1)),1)),-1)))&gt;=0,TEXT(IFERROR(VALUE(LEFT(LOWER(LEFT($A252,FIND("|",$A252)-1)),3)),IFERROR(VALUE(LEFT(LOWER(LEFT($A252,FIND("|",$A252)-1)),2)),IFERROR(VALUE(LEFT(LOWER(LEFT($A252,FIND("|",$A252)-1)),1)),-1))),"000000")&amp;MID(LOWER(LEFT($A252,FIND("|",$A252)-1)),LEN(TEXT(IFERROR(VALUE(LEFT(LOWER(LEFT($A252,FIND("|",$A252)-1)),3)),IFERROR(VALUE(LEFT(LOWER(LEFT($A252,FIND("|",$A252)-1)),2)),IFERROR(VALUE(LEFT(LOWER(LEFT($A252,FIND("|",$A252)-1)),1)),-1))),"0"))+1,99),LOWER(LEFT($A252,FIND("|",$A252)-1)))&amp;CHAR(9)&amp;TEXT(IF(SUBSTITUTE(MID($A252,FIND("|",$A252)+1,50),"'","")="",0,IFERROR(VALUE(SUBSTITUTE(MID($A252,FIND("|",$A252)+1,50),"'","")),999999)),"000000")&amp;CHAR(9)&amp;TEXT($B252,"0000"))</f>
        <v/>
      </c>
      <c r="E252" s="4">
        <f>IF($D252="","",SUMPRODUCT(($D$5:$D$364&lt;&gt;"")*($D$5:$D$364&lt;$D252))+1)</f>
        <v/>
      </c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70">
      <c r="A253" s="4">
        <f t="array" ref="A253">IF(N(INDIRECT("'Pull Sheet'!AA15"))&gt;0,INDIRECT("'Pull Sheet'!Y15")&amp;"|"&amp;INDIRECT("'Pull Sheet'!Z15"),"")</f>
        <v/>
      </c>
      <c r="B253" s="4">
        <f>IF(AND($A253&lt;&gt;"",COUNTIF($A$5:$A253,$A253)=1),MAX($B$4:$B252)+1,"")</f>
        <v/>
      </c>
      <c r="C253" s="4">
        <f t="array" ref="C253">IF($A253="","",N(INDIRECT("'Pull Sheet'!AA15")))</f>
        <v/>
      </c>
      <c r="D253" s="4">
        <f>IF($B253="","",IF(IFERROR(VALUE(LEFT(LOWER(LEFT($A253,FIND("|",$A253)-1)),3)),IFERROR(VALUE(LEFT(LOWER(LEFT($A253,FIND("|",$A253)-1)),2)),IFERROR(VALUE(LEFT(LOWER(LEFT($A253,FIND("|",$A253)-1)),1)),-1)))&gt;=0,TEXT(IFERROR(VALUE(LEFT(LOWER(LEFT($A253,FIND("|",$A253)-1)),3)),IFERROR(VALUE(LEFT(LOWER(LEFT($A253,FIND("|",$A253)-1)),2)),IFERROR(VALUE(LEFT(LOWER(LEFT($A253,FIND("|",$A253)-1)),1)),-1))),"000000")&amp;MID(LOWER(LEFT($A253,FIND("|",$A253)-1)),LEN(TEXT(IFERROR(VALUE(LEFT(LOWER(LEFT($A253,FIND("|",$A253)-1)),3)),IFERROR(VALUE(LEFT(LOWER(LEFT($A253,FIND("|",$A253)-1)),2)),IFERROR(VALUE(LEFT(LOWER(LEFT($A253,FIND("|",$A253)-1)),1)),-1))),"0"))+1,99),LOWER(LEFT($A253,FIND("|",$A253)-1)))&amp;CHAR(9)&amp;TEXT(IF(SUBSTITUTE(MID($A253,FIND("|",$A253)+1,50),"'","")="",0,IFERROR(VALUE(SUBSTITUTE(MID($A253,FIND("|",$A253)+1,50),"'","")),999999)),"000000")&amp;CHAR(9)&amp;TEXT($B253,"0000"))</f>
        <v/>
      </c>
      <c r="E253" s="4">
        <f>IF($D253="","",SUMPRODUCT(($D$5:$D$364&lt;&gt;"")*($D$5:$D$364&lt;$D253))+1)</f>
        <v/>
      </c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70">
      <c r="A254" s="4">
        <f t="array" ref="A254">IF(N(INDIRECT("'Pull Sheet'!AA16"))&gt;0,INDIRECT("'Pull Sheet'!Y16")&amp;"|"&amp;INDIRECT("'Pull Sheet'!Z16"),"")</f>
        <v/>
      </c>
      <c r="B254" s="4">
        <f>IF(AND($A254&lt;&gt;"",COUNTIF($A$5:$A254,$A254)=1),MAX($B$4:$B253)+1,"")</f>
        <v/>
      </c>
      <c r="C254" s="4">
        <f t="array" ref="C254">IF($A254="","",N(INDIRECT("'Pull Sheet'!AA16")))</f>
        <v/>
      </c>
      <c r="D254" s="4">
        <f>IF($B254="","",IF(IFERROR(VALUE(LEFT(LOWER(LEFT($A254,FIND("|",$A254)-1)),3)),IFERROR(VALUE(LEFT(LOWER(LEFT($A254,FIND("|",$A254)-1)),2)),IFERROR(VALUE(LEFT(LOWER(LEFT($A254,FIND("|",$A254)-1)),1)),-1)))&gt;=0,TEXT(IFERROR(VALUE(LEFT(LOWER(LEFT($A254,FIND("|",$A254)-1)),3)),IFERROR(VALUE(LEFT(LOWER(LEFT($A254,FIND("|",$A254)-1)),2)),IFERROR(VALUE(LEFT(LOWER(LEFT($A254,FIND("|",$A254)-1)),1)),-1))),"000000")&amp;MID(LOWER(LEFT($A254,FIND("|",$A254)-1)),LEN(TEXT(IFERROR(VALUE(LEFT(LOWER(LEFT($A254,FIND("|",$A254)-1)),3)),IFERROR(VALUE(LEFT(LOWER(LEFT($A254,FIND("|",$A254)-1)),2)),IFERROR(VALUE(LEFT(LOWER(LEFT($A254,FIND("|",$A254)-1)),1)),-1))),"0"))+1,99),LOWER(LEFT($A254,FIND("|",$A254)-1)))&amp;CHAR(9)&amp;TEXT(IF(SUBSTITUTE(MID($A254,FIND("|",$A254)+1,50),"'","")="",0,IFERROR(VALUE(SUBSTITUTE(MID($A254,FIND("|",$A254)+1,50),"'","")),999999)),"000000")&amp;CHAR(9)&amp;TEXT($B254,"0000"))</f>
        <v/>
      </c>
      <c r="E254" s="4">
        <f>IF($D254="","",SUMPRODUCT(($D$5:$D$364&lt;&gt;"")*($D$5:$D$364&lt;$D254))+1)</f>
        <v/>
      </c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70">
      <c r="A255" s="4">
        <f t="array" ref="A255">IF(N(INDIRECT("'Pull Sheet'!AA17"))&gt;0,INDIRECT("'Pull Sheet'!Y17")&amp;"|"&amp;INDIRECT("'Pull Sheet'!Z17"),"")</f>
        <v/>
      </c>
      <c r="B255" s="4">
        <f>IF(AND($A255&lt;&gt;"",COUNTIF($A$5:$A255,$A255)=1),MAX($B$4:$B254)+1,"")</f>
        <v/>
      </c>
      <c r="C255" s="4">
        <f t="array" ref="C255">IF($A255="","",N(INDIRECT("'Pull Sheet'!AA17")))</f>
        <v/>
      </c>
      <c r="D255" s="4">
        <f>IF($B255="","",IF(IFERROR(VALUE(LEFT(LOWER(LEFT($A255,FIND("|",$A255)-1)),3)),IFERROR(VALUE(LEFT(LOWER(LEFT($A255,FIND("|",$A255)-1)),2)),IFERROR(VALUE(LEFT(LOWER(LEFT($A255,FIND("|",$A255)-1)),1)),-1)))&gt;=0,TEXT(IFERROR(VALUE(LEFT(LOWER(LEFT($A255,FIND("|",$A255)-1)),3)),IFERROR(VALUE(LEFT(LOWER(LEFT($A255,FIND("|",$A255)-1)),2)),IFERROR(VALUE(LEFT(LOWER(LEFT($A255,FIND("|",$A255)-1)),1)),-1))),"000000")&amp;MID(LOWER(LEFT($A255,FIND("|",$A255)-1)),LEN(TEXT(IFERROR(VALUE(LEFT(LOWER(LEFT($A255,FIND("|",$A255)-1)),3)),IFERROR(VALUE(LEFT(LOWER(LEFT($A255,FIND("|",$A255)-1)),2)),IFERROR(VALUE(LEFT(LOWER(LEFT($A255,FIND("|",$A255)-1)),1)),-1))),"0"))+1,99),LOWER(LEFT($A255,FIND("|",$A255)-1)))&amp;CHAR(9)&amp;TEXT(IF(SUBSTITUTE(MID($A255,FIND("|",$A255)+1,50),"'","")="",0,IFERROR(VALUE(SUBSTITUTE(MID($A255,FIND("|",$A255)+1,50),"'","")),999999)),"000000")&amp;CHAR(9)&amp;TEXT($B255,"0000"))</f>
        <v/>
      </c>
      <c r="E255" s="4">
        <f>IF($D255="","",SUMPRODUCT(($D$5:$D$364&lt;&gt;"")*($D$5:$D$364&lt;$D255))+1)</f>
        <v/>
      </c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70">
      <c r="A256" s="4">
        <f t="array" ref="A256">IF(N(INDIRECT("'Pull Sheet'!AA18"))&gt;0,INDIRECT("'Pull Sheet'!Y18")&amp;"|"&amp;INDIRECT("'Pull Sheet'!Z18"),"")</f>
        <v/>
      </c>
      <c r="B256" s="4">
        <f>IF(AND($A256&lt;&gt;"",COUNTIF($A$5:$A256,$A256)=1),MAX($B$4:$B255)+1,"")</f>
        <v/>
      </c>
      <c r="C256" s="4">
        <f t="array" ref="C256">IF($A256="","",N(INDIRECT("'Pull Sheet'!AA18")))</f>
        <v/>
      </c>
      <c r="D256" s="4">
        <f>IF($B256="","",IF(IFERROR(VALUE(LEFT(LOWER(LEFT($A256,FIND("|",$A256)-1)),3)),IFERROR(VALUE(LEFT(LOWER(LEFT($A256,FIND("|",$A256)-1)),2)),IFERROR(VALUE(LEFT(LOWER(LEFT($A256,FIND("|",$A256)-1)),1)),-1)))&gt;=0,TEXT(IFERROR(VALUE(LEFT(LOWER(LEFT($A256,FIND("|",$A256)-1)),3)),IFERROR(VALUE(LEFT(LOWER(LEFT($A256,FIND("|",$A256)-1)),2)),IFERROR(VALUE(LEFT(LOWER(LEFT($A256,FIND("|",$A256)-1)),1)),-1))),"000000")&amp;MID(LOWER(LEFT($A256,FIND("|",$A256)-1)),LEN(TEXT(IFERROR(VALUE(LEFT(LOWER(LEFT($A256,FIND("|",$A256)-1)),3)),IFERROR(VALUE(LEFT(LOWER(LEFT($A256,FIND("|",$A256)-1)),2)),IFERROR(VALUE(LEFT(LOWER(LEFT($A256,FIND("|",$A256)-1)),1)),-1))),"0"))+1,99),LOWER(LEFT($A256,FIND("|",$A256)-1)))&amp;CHAR(9)&amp;TEXT(IF(SUBSTITUTE(MID($A256,FIND("|",$A256)+1,50),"'","")="",0,IFERROR(VALUE(SUBSTITUTE(MID($A256,FIND("|",$A256)+1,50),"'","")),999999)),"000000")&amp;CHAR(9)&amp;TEXT($B256,"0000"))</f>
        <v/>
      </c>
      <c r="E256" s="4">
        <f>IF($D256="","",SUMPRODUCT(($D$5:$D$364&lt;&gt;"")*($D$5:$D$364&lt;$D256))+1)</f>
        <v/>
      </c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70">
      <c r="A257" s="4">
        <f t="array" ref="A257">IF(N(INDIRECT("'Pull Sheet'!AA19"))&gt;0,INDIRECT("'Pull Sheet'!Y19")&amp;"|"&amp;INDIRECT("'Pull Sheet'!Z19"),"")</f>
        <v/>
      </c>
      <c r="B257" s="4">
        <f>IF(AND($A257&lt;&gt;"",COUNTIF($A$5:$A257,$A257)=1),MAX($B$4:$B256)+1,"")</f>
        <v/>
      </c>
      <c r="C257" s="4">
        <f t="array" ref="C257">IF($A257="","",N(INDIRECT("'Pull Sheet'!AA19")))</f>
        <v/>
      </c>
      <c r="D257" s="4">
        <f>IF($B257="","",IF(IFERROR(VALUE(LEFT(LOWER(LEFT($A257,FIND("|",$A257)-1)),3)),IFERROR(VALUE(LEFT(LOWER(LEFT($A257,FIND("|",$A257)-1)),2)),IFERROR(VALUE(LEFT(LOWER(LEFT($A257,FIND("|",$A257)-1)),1)),-1)))&gt;=0,TEXT(IFERROR(VALUE(LEFT(LOWER(LEFT($A257,FIND("|",$A257)-1)),3)),IFERROR(VALUE(LEFT(LOWER(LEFT($A257,FIND("|",$A257)-1)),2)),IFERROR(VALUE(LEFT(LOWER(LEFT($A257,FIND("|",$A257)-1)),1)),-1))),"000000")&amp;MID(LOWER(LEFT($A257,FIND("|",$A257)-1)),LEN(TEXT(IFERROR(VALUE(LEFT(LOWER(LEFT($A257,FIND("|",$A257)-1)),3)),IFERROR(VALUE(LEFT(LOWER(LEFT($A257,FIND("|",$A257)-1)),2)),IFERROR(VALUE(LEFT(LOWER(LEFT($A257,FIND("|",$A257)-1)),1)),-1))),"0"))+1,99),LOWER(LEFT($A257,FIND("|",$A257)-1)))&amp;CHAR(9)&amp;TEXT(IF(SUBSTITUTE(MID($A257,FIND("|",$A257)+1,50),"'","")="",0,IFERROR(VALUE(SUBSTITUTE(MID($A257,FIND("|",$A257)+1,50),"'","")),999999)),"000000")&amp;CHAR(9)&amp;TEXT($B257,"0000"))</f>
        <v/>
      </c>
      <c r="E257" s="4">
        <f>IF($D257="","",SUMPRODUCT(($D$5:$D$364&lt;&gt;"")*($D$5:$D$364&lt;$D257))+1)</f>
        <v/>
      </c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70">
      <c r="A258" s="4">
        <f t="array" ref="A258">IF(N(INDIRECT("'Pull Sheet'!AA20"))&gt;0,INDIRECT("'Pull Sheet'!Y20")&amp;"|"&amp;INDIRECT("'Pull Sheet'!Z20"),"")</f>
        <v/>
      </c>
      <c r="B258" s="4">
        <f>IF(AND($A258&lt;&gt;"",COUNTIF($A$5:$A258,$A258)=1),MAX($B$4:$B257)+1,"")</f>
        <v/>
      </c>
      <c r="C258" s="4">
        <f t="array" ref="C258">IF($A258="","",N(INDIRECT("'Pull Sheet'!AA20")))</f>
        <v/>
      </c>
      <c r="D258" s="4">
        <f>IF($B258="","",IF(IFERROR(VALUE(LEFT(LOWER(LEFT($A258,FIND("|",$A258)-1)),3)),IFERROR(VALUE(LEFT(LOWER(LEFT($A258,FIND("|",$A258)-1)),2)),IFERROR(VALUE(LEFT(LOWER(LEFT($A258,FIND("|",$A258)-1)),1)),-1)))&gt;=0,TEXT(IFERROR(VALUE(LEFT(LOWER(LEFT($A258,FIND("|",$A258)-1)),3)),IFERROR(VALUE(LEFT(LOWER(LEFT($A258,FIND("|",$A258)-1)),2)),IFERROR(VALUE(LEFT(LOWER(LEFT($A258,FIND("|",$A258)-1)),1)),-1))),"000000")&amp;MID(LOWER(LEFT($A258,FIND("|",$A258)-1)),LEN(TEXT(IFERROR(VALUE(LEFT(LOWER(LEFT($A258,FIND("|",$A258)-1)),3)),IFERROR(VALUE(LEFT(LOWER(LEFT($A258,FIND("|",$A258)-1)),2)),IFERROR(VALUE(LEFT(LOWER(LEFT($A258,FIND("|",$A258)-1)),1)),-1))),"0"))+1,99),LOWER(LEFT($A258,FIND("|",$A258)-1)))&amp;CHAR(9)&amp;TEXT(IF(SUBSTITUTE(MID($A258,FIND("|",$A258)+1,50),"'","")="",0,IFERROR(VALUE(SUBSTITUTE(MID($A258,FIND("|",$A258)+1,50),"'","")),999999)),"000000")&amp;CHAR(9)&amp;TEXT($B258,"0000"))</f>
        <v/>
      </c>
      <c r="E258" s="4">
        <f>IF($D258="","",SUMPRODUCT(($D$5:$D$364&lt;&gt;"")*($D$5:$D$364&lt;$D258))+1)</f>
        <v/>
      </c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70">
      <c r="A259" s="4">
        <f t="array" ref="A259">IF(N(INDIRECT("'Pull Sheet'!AA21"))&gt;0,INDIRECT("'Pull Sheet'!Y21")&amp;"|"&amp;INDIRECT("'Pull Sheet'!Z21"),"")</f>
        <v/>
      </c>
      <c r="B259" s="4">
        <f>IF(AND($A259&lt;&gt;"",COUNTIF($A$5:$A259,$A259)=1),MAX($B$4:$B258)+1,"")</f>
        <v/>
      </c>
      <c r="C259" s="4">
        <f t="array" ref="C259">IF($A259="","",N(INDIRECT("'Pull Sheet'!AA21")))</f>
        <v/>
      </c>
      <c r="D259" s="4">
        <f>IF($B259="","",IF(IFERROR(VALUE(LEFT(LOWER(LEFT($A259,FIND("|",$A259)-1)),3)),IFERROR(VALUE(LEFT(LOWER(LEFT($A259,FIND("|",$A259)-1)),2)),IFERROR(VALUE(LEFT(LOWER(LEFT($A259,FIND("|",$A259)-1)),1)),-1)))&gt;=0,TEXT(IFERROR(VALUE(LEFT(LOWER(LEFT($A259,FIND("|",$A259)-1)),3)),IFERROR(VALUE(LEFT(LOWER(LEFT($A259,FIND("|",$A259)-1)),2)),IFERROR(VALUE(LEFT(LOWER(LEFT($A259,FIND("|",$A259)-1)),1)),-1))),"000000")&amp;MID(LOWER(LEFT($A259,FIND("|",$A259)-1)),LEN(TEXT(IFERROR(VALUE(LEFT(LOWER(LEFT($A259,FIND("|",$A259)-1)),3)),IFERROR(VALUE(LEFT(LOWER(LEFT($A259,FIND("|",$A259)-1)),2)),IFERROR(VALUE(LEFT(LOWER(LEFT($A259,FIND("|",$A259)-1)),1)),-1))),"0"))+1,99),LOWER(LEFT($A259,FIND("|",$A259)-1)))&amp;CHAR(9)&amp;TEXT(IF(SUBSTITUTE(MID($A259,FIND("|",$A259)+1,50),"'","")="",0,IFERROR(VALUE(SUBSTITUTE(MID($A259,FIND("|",$A259)+1,50),"'","")),999999)),"000000")&amp;CHAR(9)&amp;TEXT($B259,"0000"))</f>
        <v/>
      </c>
      <c r="E259" s="4">
        <f>IF($D259="","",SUMPRODUCT(($D$5:$D$364&lt;&gt;"")*($D$5:$D$364&lt;$D259))+1)</f>
        <v/>
      </c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70">
      <c r="A260" s="4">
        <f t="array" ref="A260">IF(N(INDIRECT("'Pull Sheet'!AA22"))&gt;0,INDIRECT("'Pull Sheet'!Y22")&amp;"|"&amp;INDIRECT("'Pull Sheet'!Z22"),"")</f>
        <v/>
      </c>
      <c r="B260" s="4">
        <f>IF(AND($A260&lt;&gt;"",COUNTIF($A$5:$A260,$A260)=1),MAX($B$4:$B259)+1,"")</f>
        <v/>
      </c>
      <c r="C260" s="4">
        <f t="array" ref="C260">IF($A260="","",N(INDIRECT("'Pull Sheet'!AA22")))</f>
        <v/>
      </c>
      <c r="D260" s="4">
        <f>IF($B260="","",IF(IFERROR(VALUE(LEFT(LOWER(LEFT($A260,FIND("|",$A260)-1)),3)),IFERROR(VALUE(LEFT(LOWER(LEFT($A260,FIND("|",$A260)-1)),2)),IFERROR(VALUE(LEFT(LOWER(LEFT($A260,FIND("|",$A260)-1)),1)),-1)))&gt;=0,TEXT(IFERROR(VALUE(LEFT(LOWER(LEFT($A260,FIND("|",$A260)-1)),3)),IFERROR(VALUE(LEFT(LOWER(LEFT($A260,FIND("|",$A260)-1)),2)),IFERROR(VALUE(LEFT(LOWER(LEFT($A260,FIND("|",$A260)-1)),1)),-1))),"000000")&amp;MID(LOWER(LEFT($A260,FIND("|",$A260)-1)),LEN(TEXT(IFERROR(VALUE(LEFT(LOWER(LEFT($A260,FIND("|",$A260)-1)),3)),IFERROR(VALUE(LEFT(LOWER(LEFT($A260,FIND("|",$A260)-1)),2)),IFERROR(VALUE(LEFT(LOWER(LEFT($A260,FIND("|",$A260)-1)),1)),-1))),"0"))+1,99),LOWER(LEFT($A260,FIND("|",$A260)-1)))&amp;CHAR(9)&amp;TEXT(IF(SUBSTITUTE(MID($A260,FIND("|",$A260)+1,50),"'","")="",0,IFERROR(VALUE(SUBSTITUTE(MID($A260,FIND("|",$A260)+1,50),"'","")),999999)),"000000")&amp;CHAR(9)&amp;TEXT($B260,"0000"))</f>
        <v/>
      </c>
      <c r="E260" s="4">
        <f>IF($D260="","",SUMPRODUCT(($D$5:$D$364&lt;&gt;"")*($D$5:$D$364&lt;$D260))+1)</f>
        <v/>
      </c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70">
      <c r="A261" s="4">
        <f t="array" ref="A261">IF(N(INDIRECT("'Pull Sheet'!AA23"))&gt;0,INDIRECT("'Pull Sheet'!Y23")&amp;"|"&amp;INDIRECT("'Pull Sheet'!Z23"),"")</f>
        <v/>
      </c>
      <c r="B261" s="4">
        <f>IF(AND($A261&lt;&gt;"",COUNTIF($A$5:$A261,$A261)=1),MAX($B$4:$B260)+1,"")</f>
        <v/>
      </c>
      <c r="C261" s="4">
        <f t="array" ref="C261">IF($A261="","",N(INDIRECT("'Pull Sheet'!AA23")))</f>
        <v/>
      </c>
      <c r="D261" s="4">
        <f>IF($B261="","",IF(IFERROR(VALUE(LEFT(LOWER(LEFT($A261,FIND("|",$A261)-1)),3)),IFERROR(VALUE(LEFT(LOWER(LEFT($A261,FIND("|",$A261)-1)),2)),IFERROR(VALUE(LEFT(LOWER(LEFT($A261,FIND("|",$A261)-1)),1)),-1)))&gt;=0,TEXT(IFERROR(VALUE(LEFT(LOWER(LEFT($A261,FIND("|",$A261)-1)),3)),IFERROR(VALUE(LEFT(LOWER(LEFT($A261,FIND("|",$A261)-1)),2)),IFERROR(VALUE(LEFT(LOWER(LEFT($A261,FIND("|",$A261)-1)),1)),-1))),"000000")&amp;MID(LOWER(LEFT($A261,FIND("|",$A261)-1)),LEN(TEXT(IFERROR(VALUE(LEFT(LOWER(LEFT($A261,FIND("|",$A261)-1)),3)),IFERROR(VALUE(LEFT(LOWER(LEFT($A261,FIND("|",$A261)-1)),2)),IFERROR(VALUE(LEFT(LOWER(LEFT($A261,FIND("|",$A261)-1)),1)),-1))),"0"))+1,99),LOWER(LEFT($A261,FIND("|",$A261)-1)))&amp;CHAR(9)&amp;TEXT(IF(SUBSTITUTE(MID($A261,FIND("|",$A261)+1,50),"'","")="",0,IFERROR(VALUE(SUBSTITUTE(MID($A261,FIND("|",$A261)+1,50),"'","")),999999)),"000000")&amp;CHAR(9)&amp;TEXT($B261,"0000"))</f>
        <v/>
      </c>
      <c r="E261" s="4">
        <f>IF($D261="","",SUMPRODUCT(($D$5:$D$364&lt;&gt;"")*($D$5:$D$364&lt;$D261))+1)</f>
        <v/>
      </c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70">
      <c r="A262" s="4">
        <f t="array" ref="A262">IF(N(INDIRECT("'Pull Sheet'!AA24"))&gt;0,INDIRECT("'Pull Sheet'!Y24")&amp;"|"&amp;INDIRECT("'Pull Sheet'!Z24"),"")</f>
        <v/>
      </c>
      <c r="B262" s="4">
        <f>IF(AND($A262&lt;&gt;"",COUNTIF($A$5:$A262,$A262)=1),MAX($B$4:$B261)+1,"")</f>
        <v/>
      </c>
      <c r="C262" s="4">
        <f t="array" ref="C262">IF($A262="","",N(INDIRECT("'Pull Sheet'!AA24")))</f>
        <v/>
      </c>
      <c r="D262" s="4">
        <f>IF($B262="","",IF(IFERROR(VALUE(LEFT(LOWER(LEFT($A262,FIND("|",$A262)-1)),3)),IFERROR(VALUE(LEFT(LOWER(LEFT($A262,FIND("|",$A262)-1)),2)),IFERROR(VALUE(LEFT(LOWER(LEFT($A262,FIND("|",$A262)-1)),1)),-1)))&gt;=0,TEXT(IFERROR(VALUE(LEFT(LOWER(LEFT($A262,FIND("|",$A262)-1)),3)),IFERROR(VALUE(LEFT(LOWER(LEFT($A262,FIND("|",$A262)-1)),2)),IFERROR(VALUE(LEFT(LOWER(LEFT($A262,FIND("|",$A262)-1)),1)),-1))),"000000")&amp;MID(LOWER(LEFT($A262,FIND("|",$A262)-1)),LEN(TEXT(IFERROR(VALUE(LEFT(LOWER(LEFT($A262,FIND("|",$A262)-1)),3)),IFERROR(VALUE(LEFT(LOWER(LEFT($A262,FIND("|",$A262)-1)),2)),IFERROR(VALUE(LEFT(LOWER(LEFT($A262,FIND("|",$A262)-1)),1)),-1))),"0"))+1,99),LOWER(LEFT($A262,FIND("|",$A262)-1)))&amp;CHAR(9)&amp;TEXT(IF(SUBSTITUTE(MID($A262,FIND("|",$A262)+1,50),"'","")="",0,IFERROR(VALUE(SUBSTITUTE(MID($A262,FIND("|",$A262)+1,50),"'","")),999999)),"000000")&amp;CHAR(9)&amp;TEXT($B262,"0000"))</f>
        <v/>
      </c>
      <c r="E262" s="4">
        <f>IF($D262="","",SUMPRODUCT(($D$5:$D$364&lt;&gt;"")*($D$5:$D$364&lt;$D262))+1)</f>
        <v/>
      </c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70">
      <c r="A263" s="4">
        <f t="array" ref="A263">IF(N(INDIRECT("'Pull Sheet'!AA25"))&gt;0,INDIRECT("'Pull Sheet'!Y25")&amp;"|"&amp;INDIRECT("'Pull Sheet'!Z25"),"")</f>
        <v/>
      </c>
      <c r="B263" s="4">
        <f>IF(AND($A263&lt;&gt;"",COUNTIF($A$5:$A263,$A263)=1),MAX($B$4:$B262)+1,"")</f>
        <v/>
      </c>
      <c r="C263" s="4">
        <f t="array" ref="C263">IF($A263="","",N(INDIRECT("'Pull Sheet'!AA25")))</f>
        <v/>
      </c>
      <c r="D263" s="4">
        <f>IF($B263="","",IF(IFERROR(VALUE(LEFT(LOWER(LEFT($A263,FIND("|",$A263)-1)),3)),IFERROR(VALUE(LEFT(LOWER(LEFT($A263,FIND("|",$A263)-1)),2)),IFERROR(VALUE(LEFT(LOWER(LEFT($A263,FIND("|",$A263)-1)),1)),-1)))&gt;=0,TEXT(IFERROR(VALUE(LEFT(LOWER(LEFT($A263,FIND("|",$A263)-1)),3)),IFERROR(VALUE(LEFT(LOWER(LEFT($A263,FIND("|",$A263)-1)),2)),IFERROR(VALUE(LEFT(LOWER(LEFT($A263,FIND("|",$A263)-1)),1)),-1))),"000000")&amp;MID(LOWER(LEFT($A263,FIND("|",$A263)-1)),LEN(TEXT(IFERROR(VALUE(LEFT(LOWER(LEFT($A263,FIND("|",$A263)-1)),3)),IFERROR(VALUE(LEFT(LOWER(LEFT($A263,FIND("|",$A263)-1)),2)),IFERROR(VALUE(LEFT(LOWER(LEFT($A263,FIND("|",$A263)-1)),1)),-1))),"0"))+1,99),LOWER(LEFT($A263,FIND("|",$A263)-1)))&amp;CHAR(9)&amp;TEXT(IF(SUBSTITUTE(MID($A263,FIND("|",$A263)+1,50),"'","")="",0,IFERROR(VALUE(SUBSTITUTE(MID($A263,FIND("|",$A263)+1,50),"'","")),999999)),"000000")&amp;CHAR(9)&amp;TEXT($B263,"0000"))</f>
        <v/>
      </c>
      <c r="E263" s="4">
        <f>IF($D263="","",SUMPRODUCT(($D$5:$D$364&lt;&gt;"")*($D$5:$D$364&lt;$D263))+1)</f>
        <v/>
      </c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70">
      <c r="A264" s="4">
        <f t="array" ref="A264">IF(N(INDIRECT("'Pull Sheet'!AA26"))&gt;0,INDIRECT("'Pull Sheet'!Y26")&amp;"|"&amp;INDIRECT("'Pull Sheet'!Z26"),"")</f>
        <v/>
      </c>
      <c r="B264" s="4">
        <f>IF(AND($A264&lt;&gt;"",COUNTIF($A$5:$A264,$A264)=1),MAX($B$4:$B263)+1,"")</f>
        <v/>
      </c>
      <c r="C264" s="4">
        <f t="array" ref="C264">IF($A264="","",N(INDIRECT("'Pull Sheet'!AA26")))</f>
        <v/>
      </c>
      <c r="D264" s="4">
        <f>IF($B264="","",IF(IFERROR(VALUE(LEFT(LOWER(LEFT($A264,FIND("|",$A264)-1)),3)),IFERROR(VALUE(LEFT(LOWER(LEFT($A264,FIND("|",$A264)-1)),2)),IFERROR(VALUE(LEFT(LOWER(LEFT($A264,FIND("|",$A264)-1)),1)),-1)))&gt;=0,TEXT(IFERROR(VALUE(LEFT(LOWER(LEFT($A264,FIND("|",$A264)-1)),3)),IFERROR(VALUE(LEFT(LOWER(LEFT($A264,FIND("|",$A264)-1)),2)),IFERROR(VALUE(LEFT(LOWER(LEFT($A264,FIND("|",$A264)-1)),1)),-1))),"000000")&amp;MID(LOWER(LEFT($A264,FIND("|",$A264)-1)),LEN(TEXT(IFERROR(VALUE(LEFT(LOWER(LEFT($A264,FIND("|",$A264)-1)),3)),IFERROR(VALUE(LEFT(LOWER(LEFT($A264,FIND("|",$A264)-1)),2)),IFERROR(VALUE(LEFT(LOWER(LEFT($A264,FIND("|",$A264)-1)),1)),-1))),"0"))+1,99),LOWER(LEFT($A264,FIND("|",$A264)-1)))&amp;CHAR(9)&amp;TEXT(IF(SUBSTITUTE(MID($A264,FIND("|",$A264)+1,50),"'","")="",0,IFERROR(VALUE(SUBSTITUTE(MID($A264,FIND("|",$A264)+1,50),"'","")),999999)),"000000")&amp;CHAR(9)&amp;TEXT($B264,"0000"))</f>
        <v/>
      </c>
      <c r="E264" s="4">
        <f>IF($D264="","",SUMPRODUCT(($D$5:$D$364&lt;&gt;"")*($D$5:$D$364&lt;$D264))+1)</f>
        <v/>
      </c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70">
      <c r="A265" s="4">
        <f t="array" ref="A265">IF(N(INDIRECT("'Pull Sheet'!AA27"))&gt;0,INDIRECT("'Pull Sheet'!Y27")&amp;"|"&amp;INDIRECT("'Pull Sheet'!Z27"),"")</f>
        <v/>
      </c>
      <c r="B265" s="4">
        <f>IF(AND($A265&lt;&gt;"",COUNTIF($A$5:$A265,$A265)=1),MAX($B$4:$B264)+1,"")</f>
        <v/>
      </c>
      <c r="C265" s="4">
        <f t="array" ref="C265">IF($A265="","",N(INDIRECT("'Pull Sheet'!AA27")))</f>
        <v/>
      </c>
      <c r="D265" s="4">
        <f>IF($B265="","",IF(IFERROR(VALUE(LEFT(LOWER(LEFT($A265,FIND("|",$A265)-1)),3)),IFERROR(VALUE(LEFT(LOWER(LEFT($A265,FIND("|",$A265)-1)),2)),IFERROR(VALUE(LEFT(LOWER(LEFT($A265,FIND("|",$A265)-1)),1)),-1)))&gt;=0,TEXT(IFERROR(VALUE(LEFT(LOWER(LEFT($A265,FIND("|",$A265)-1)),3)),IFERROR(VALUE(LEFT(LOWER(LEFT($A265,FIND("|",$A265)-1)),2)),IFERROR(VALUE(LEFT(LOWER(LEFT($A265,FIND("|",$A265)-1)),1)),-1))),"000000")&amp;MID(LOWER(LEFT($A265,FIND("|",$A265)-1)),LEN(TEXT(IFERROR(VALUE(LEFT(LOWER(LEFT($A265,FIND("|",$A265)-1)),3)),IFERROR(VALUE(LEFT(LOWER(LEFT($A265,FIND("|",$A265)-1)),2)),IFERROR(VALUE(LEFT(LOWER(LEFT($A265,FIND("|",$A265)-1)),1)),-1))),"0"))+1,99),LOWER(LEFT($A265,FIND("|",$A265)-1)))&amp;CHAR(9)&amp;TEXT(IF(SUBSTITUTE(MID($A265,FIND("|",$A265)+1,50),"'","")="",0,IFERROR(VALUE(SUBSTITUTE(MID($A265,FIND("|",$A265)+1,50),"'","")),999999)),"000000")&amp;CHAR(9)&amp;TEXT($B265,"0000"))</f>
        <v/>
      </c>
      <c r="E265" s="4">
        <f>IF($D265="","",SUMPRODUCT(($D$5:$D$364&lt;&gt;"")*($D$5:$D$364&lt;$D265))+1)</f>
        <v/>
      </c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70">
      <c r="A266" s="4">
        <f t="array" ref="A266">IF(N(INDIRECT("'Pull Sheet'!AA28"))&gt;0,INDIRECT("'Pull Sheet'!Y28")&amp;"|"&amp;INDIRECT("'Pull Sheet'!Z28"),"")</f>
        <v/>
      </c>
      <c r="B266" s="4">
        <f>IF(AND($A266&lt;&gt;"",COUNTIF($A$5:$A266,$A266)=1),MAX($B$4:$B265)+1,"")</f>
        <v/>
      </c>
      <c r="C266" s="4">
        <f t="array" ref="C266">IF($A266="","",N(INDIRECT("'Pull Sheet'!AA28")))</f>
        <v/>
      </c>
      <c r="D266" s="4">
        <f>IF($B266="","",IF(IFERROR(VALUE(LEFT(LOWER(LEFT($A266,FIND("|",$A266)-1)),3)),IFERROR(VALUE(LEFT(LOWER(LEFT($A266,FIND("|",$A266)-1)),2)),IFERROR(VALUE(LEFT(LOWER(LEFT($A266,FIND("|",$A266)-1)),1)),-1)))&gt;=0,TEXT(IFERROR(VALUE(LEFT(LOWER(LEFT($A266,FIND("|",$A266)-1)),3)),IFERROR(VALUE(LEFT(LOWER(LEFT($A266,FIND("|",$A266)-1)),2)),IFERROR(VALUE(LEFT(LOWER(LEFT($A266,FIND("|",$A266)-1)),1)),-1))),"000000")&amp;MID(LOWER(LEFT($A266,FIND("|",$A266)-1)),LEN(TEXT(IFERROR(VALUE(LEFT(LOWER(LEFT($A266,FIND("|",$A266)-1)),3)),IFERROR(VALUE(LEFT(LOWER(LEFT($A266,FIND("|",$A266)-1)),2)),IFERROR(VALUE(LEFT(LOWER(LEFT($A266,FIND("|",$A266)-1)),1)),-1))),"0"))+1,99),LOWER(LEFT($A266,FIND("|",$A266)-1)))&amp;CHAR(9)&amp;TEXT(IF(SUBSTITUTE(MID($A266,FIND("|",$A266)+1,50),"'","")="",0,IFERROR(VALUE(SUBSTITUTE(MID($A266,FIND("|",$A266)+1,50),"'","")),999999)),"000000")&amp;CHAR(9)&amp;TEXT($B266,"0000"))</f>
        <v/>
      </c>
      <c r="E266" s="4">
        <f>IF($D266="","",SUMPRODUCT(($D$5:$D$364&lt;&gt;"")*($D$5:$D$364&lt;$D266))+1)</f>
        <v/>
      </c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70">
      <c r="A267" s="4">
        <f t="array" ref="A267">IF(N(INDIRECT("'Pull Sheet'!AA29"))&gt;0,INDIRECT("'Pull Sheet'!Y29")&amp;"|"&amp;INDIRECT("'Pull Sheet'!Z29"),"")</f>
        <v/>
      </c>
      <c r="B267" s="4">
        <f>IF(AND($A267&lt;&gt;"",COUNTIF($A$5:$A267,$A267)=1),MAX($B$4:$B266)+1,"")</f>
        <v/>
      </c>
      <c r="C267" s="4">
        <f t="array" ref="C267">IF($A267="","",N(INDIRECT("'Pull Sheet'!AA29")))</f>
        <v/>
      </c>
      <c r="D267" s="4">
        <f>IF($B267="","",IF(IFERROR(VALUE(LEFT(LOWER(LEFT($A267,FIND("|",$A267)-1)),3)),IFERROR(VALUE(LEFT(LOWER(LEFT($A267,FIND("|",$A267)-1)),2)),IFERROR(VALUE(LEFT(LOWER(LEFT($A267,FIND("|",$A267)-1)),1)),-1)))&gt;=0,TEXT(IFERROR(VALUE(LEFT(LOWER(LEFT($A267,FIND("|",$A267)-1)),3)),IFERROR(VALUE(LEFT(LOWER(LEFT($A267,FIND("|",$A267)-1)),2)),IFERROR(VALUE(LEFT(LOWER(LEFT($A267,FIND("|",$A267)-1)),1)),-1))),"000000")&amp;MID(LOWER(LEFT($A267,FIND("|",$A267)-1)),LEN(TEXT(IFERROR(VALUE(LEFT(LOWER(LEFT($A267,FIND("|",$A267)-1)),3)),IFERROR(VALUE(LEFT(LOWER(LEFT($A267,FIND("|",$A267)-1)),2)),IFERROR(VALUE(LEFT(LOWER(LEFT($A267,FIND("|",$A267)-1)),1)),-1))),"0"))+1,99),LOWER(LEFT($A267,FIND("|",$A267)-1)))&amp;CHAR(9)&amp;TEXT(IF(SUBSTITUTE(MID($A267,FIND("|",$A267)+1,50),"'","")="",0,IFERROR(VALUE(SUBSTITUTE(MID($A267,FIND("|",$A267)+1,50),"'","")),999999)),"000000")&amp;CHAR(9)&amp;TEXT($B267,"0000"))</f>
        <v/>
      </c>
      <c r="E267" s="4">
        <f>IF($D267="","",SUMPRODUCT(($D$5:$D$364&lt;&gt;"")*($D$5:$D$364&lt;$D267))+1)</f>
        <v/>
      </c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70">
      <c r="A268" s="4">
        <f t="array" ref="A268">IF(N(INDIRECT("'Pull Sheet'!AA30"))&gt;0,INDIRECT("'Pull Sheet'!Y30")&amp;"|"&amp;INDIRECT("'Pull Sheet'!Z30"),"")</f>
        <v/>
      </c>
      <c r="B268" s="4">
        <f>IF(AND($A268&lt;&gt;"",COUNTIF($A$5:$A268,$A268)=1),MAX($B$4:$B267)+1,"")</f>
        <v/>
      </c>
      <c r="C268" s="4">
        <f t="array" ref="C268">IF($A268="","",N(INDIRECT("'Pull Sheet'!AA30")))</f>
        <v/>
      </c>
      <c r="D268" s="4">
        <f>IF($B268="","",IF(IFERROR(VALUE(LEFT(LOWER(LEFT($A268,FIND("|",$A268)-1)),3)),IFERROR(VALUE(LEFT(LOWER(LEFT($A268,FIND("|",$A268)-1)),2)),IFERROR(VALUE(LEFT(LOWER(LEFT($A268,FIND("|",$A268)-1)),1)),-1)))&gt;=0,TEXT(IFERROR(VALUE(LEFT(LOWER(LEFT($A268,FIND("|",$A268)-1)),3)),IFERROR(VALUE(LEFT(LOWER(LEFT($A268,FIND("|",$A268)-1)),2)),IFERROR(VALUE(LEFT(LOWER(LEFT($A268,FIND("|",$A268)-1)),1)),-1))),"000000")&amp;MID(LOWER(LEFT($A268,FIND("|",$A268)-1)),LEN(TEXT(IFERROR(VALUE(LEFT(LOWER(LEFT($A268,FIND("|",$A268)-1)),3)),IFERROR(VALUE(LEFT(LOWER(LEFT($A268,FIND("|",$A268)-1)),2)),IFERROR(VALUE(LEFT(LOWER(LEFT($A268,FIND("|",$A268)-1)),1)),-1))),"0"))+1,99),LOWER(LEFT($A268,FIND("|",$A268)-1)))&amp;CHAR(9)&amp;TEXT(IF(SUBSTITUTE(MID($A268,FIND("|",$A268)+1,50),"'","")="",0,IFERROR(VALUE(SUBSTITUTE(MID($A268,FIND("|",$A268)+1,50),"'","")),999999)),"000000")&amp;CHAR(9)&amp;TEXT($B268,"0000"))</f>
        <v/>
      </c>
      <c r="E268" s="4">
        <f>IF($D268="","",SUMPRODUCT(($D$5:$D$364&lt;&gt;"")*($D$5:$D$364&lt;$D268))+1)</f>
        <v/>
      </c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70">
      <c r="A269" s="4">
        <f t="array" ref="A269">IF(N(INDIRECT("'Pull Sheet'!AA31"))&gt;0,INDIRECT("'Pull Sheet'!Y31")&amp;"|"&amp;INDIRECT("'Pull Sheet'!Z31"),"")</f>
        <v/>
      </c>
      <c r="B269" s="4">
        <f>IF(AND($A269&lt;&gt;"",COUNTIF($A$5:$A269,$A269)=1),MAX($B$4:$B268)+1,"")</f>
        <v/>
      </c>
      <c r="C269" s="4">
        <f t="array" ref="C269">IF($A269="","",N(INDIRECT("'Pull Sheet'!AA31")))</f>
        <v/>
      </c>
      <c r="D269" s="4">
        <f>IF($B269="","",IF(IFERROR(VALUE(LEFT(LOWER(LEFT($A269,FIND("|",$A269)-1)),3)),IFERROR(VALUE(LEFT(LOWER(LEFT($A269,FIND("|",$A269)-1)),2)),IFERROR(VALUE(LEFT(LOWER(LEFT($A269,FIND("|",$A269)-1)),1)),-1)))&gt;=0,TEXT(IFERROR(VALUE(LEFT(LOWER(LEFT($A269,FIND("|",$A269)-1)),3)),IFERROR(VALUE(LEFT(LOWER(LEFT($A269,FIND("|",$A269)-1)),2)),IFERROR(VALUE(LEFT(LOWER(LEFT($A269,FIND("|",$A269)-1)),1)),-1))),"000000")&amp;MID(LOWER(LEFT($A269,FIND("|",$A269)-1)),LEN(TEXT(IFERROR(VALUE(LEFT(LOWER(LEFT($A269,FIND("|",$A269)-1)),3)),IFERROR(VALUE(LEFT(LOWER(LEFT($A269,FIND("|",$A269)-1)),2)),IFERROR(VALUE(LEFT(LOWER(LEFT($A269,FIND("|",$A269)-1)),1)),-1))),"0"))+1,99),LOWER(LEFT($A269,FIND("|",$A269)-1)))&amp;CHAR(9)&amp;TEXT(IF(SUBSTITUTE(MID($A269,FIND("|",$A269)+1,50),"'","")="",0,IFERROR(VALUE(SUBSTITUTE(MID($A269,FIND("|",$A269)+1,50),"'","")),999999)),"000000")&amp;CHAR(9)&amp;TEXT($B269,"0000"))</f>
        <v/>
      </c>
      <c r="E269" s="4">
        <f>IF($D269="","",SUMPRODUCT(($D$5:$D$364&lt;&gt;"")*($D$5:$D$364&lt;$D269))+1)</f>
        <v/>
      </c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70">
      <c r="A270" s="4">
        <f t="array" ref="A270">IF(N(INDIRECT("'Pull Sheet'!AA32"))&gt;0,INDIRECT("'Pull Sheet'!Y32")&amp;"|"&amp;INDIRECT("'Pull Sheet'!Z32"),"")</f>
        <v/>
      </c>
      <c r="B270" s="4">
        <f>IF(AND($A270&lt;&gt;"",COUNTIF($A$5:$A270,$A270)=1),MAX($B$4:$B269)+1,"")</f>
        <v/>
      </c>
      <c r="C270" s="4">
        <f t="array" ref="C270">IF($A270="","",N(INDIRECT("'Pull Sheet'!AA32")))</f>
        <v/>
      </c>
      <c r="D270" s="4">
        <f>IF($B270="","",IF(IFERROR(VALUE(LEFT(LOWER(LEFT($A270,FIND("|",$A270)-1)),3)),IFERROR(VALUE(LEFT(LOWER(LEFT($A270,FIND("|",$A270)-1)),2)),IFERROR(VALUE(LEFT(LOWER(LEFT($A270,FIND("|",$A270)-1)),1)),-1)))&gt;=0,TEXT(IFERROR(VALUE(LEFT(LOWER(LEFT($A270,FIND("|",$A270)-1)),3)),IFERROR(VALUE(LEFT(LOWER(LEFT($A270,FIND("|",$A270)-1)),2)),IFERROR(VALUE(LEFT(LOWER(LEFT($A270,FIND("|",$A270)-1)),1)),-1))),"000000")&amp;MID(LOWER(LEFT($A270,FIND("|",$A270)-1)),LEN(TEXT(IFERROR(VALUE(LEFT(LOWER(LEFT($A270,FIND("|",$A270)-1)),3)),IFERROR(VALUE(LEFT(LOWER(LEFT($A270,FIND("|",$A270)-1)),2)),IFERROR(VALUE(LEFT(LOWER(LEFT($A270,FIND("|",$A270)-1)),1)),-1))),"0"))+1,99),LOWER(LEFT($A270,FIND("|",$A270)-1)))&amp;CHAR(9)&amp;TEXT(IF(SUBSTITUTE(MID($A270,FIND("|",$A270)+1,50),"'","")="",0,IFERROR(VALUE(SUBSTITUTE(MID($A270,FIND("|",$A270)+1,50),"'","")),999999)),"000000")&amp;CHAR(9)&amp;TEXT($B270,"0000"))</f>
        <v/>
      </c>
      <c r="E270" s="4">
        <f>IF($D270="","",SUMPRODUCT(($D$5:$D$364&lt;&gt;"")*($D$5:$D$364&lt;$D270))+1)</f>
        <v/>
      </c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70">
      <c r="A271" s="4">
        <f t="array" ref="A271">IF(N(INDIRECT("'Pull Sheet'!AA33"))&gt;0,INDIRECT("'Pull Sheet'!Y33")&amp;"|"&amp;INDIRECT("'Pull Sheet'!Z33"),"")</f>
        <v/>
      </c>
      <c r="B271" s="4">
        <f>IF(AND($A271&lt;&gt;"",COUNTIF($A$5:$A271,$A271)=1),MAX($B$4:$B270)+1,"")</f>
        <v/>
      </c>
      <c r="C271" s="4">
        <f t="array" ref="C271">IF($A271="","",N(INDIRECT("'Pull Sheet'!AA33")))</f>
        <v/>
      </c>
      <c r="D271" s="4">
        <f>IF($B271="","",IF(IFERROR(VALUE(LEFT(LOWER(LEFT($A271,FIND("|",$A271)-1)),3)),IFERROR(VALUE(LEFT(LOWER(LEFT($A271,FIND("|",$A271)-1)),2)),IFERROR(VALUE(LEFT(LOWER(LEFT($A271,FIND("|",$A271)-1)),1)),-1)))&gt;=0,TEXT(IFERROR(VALUE(LEFT(LOWER(LEFT($A271,FIND("|",$A271)-1)),3)),IFERROR(VALUE(LEFT(LOWER(LEFT($A271,FIND("|",$A271)-1)),2)),IFERROR(VALUE(LEFT(LOWER(LEFT($A271,FIND("|",$A271)-1)),1)),-1))),"000000")&amp;MID(LOWER(LEFT($A271,FIND("|",$A271)-1)),LEN(TEXT(IFERROR(VALUE(LEFT(LOWER(LEFT($A271,FIND("|",$A271)-1)),3)),IFERROR(VALUE(LEFT(LOWER(LEFT($A271,FIND("|",$A271)-1)),2)),IFERROR(VALUE(LEFT(LOWER(LEFT($A271,FIND("|",$A271)-1)),1)),-1))),"0"))+1,99),LOWER(LEFT($A271,FIND("|",$A271)-1)))&amp;CHAR(9)&amp;TEXT(IF(SUBSTITUTE(MID($A271,FIND("|",$A271)+1,50),"'","")="",0,IFERROR(VALUE(SUBSTITUTE(MID($A271,FIND("|",$A271)+1,50),"'","")),999999)),"000000")&amp;CHAR(9)&amp;TEXT($B271,"0000"))</f>
        <v/>
      </c>
      <c r="E271" s="4">
        <f>IF($D271="","",SUMPRODUCT(($D$5:$D$364&lt;&gt;"")*($D$5:$D$364&lt;$D271))+1)</f>
        <v/>
      </c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70">
      <c r="A272" s="4">
        <f t="array" ref="A272">IF(N(INDIRECT("'Pull Sheet'!AA34"))&gt;0,INDIRECT("'Pull Sheet'!Y34")&amp;"|"&amp;INDIRECT("'Pull Sheet'!Z34"),"")</f>
        <v/>
      </c>
      <c r="B272" s="4">
        <f>IF(AND($A272&lt;&gt;"",COUNTIF($A$5:$A272,$A272)=1),MAX($B$4:$B271)+1,"")</f>
        <v/>
      </c>
      <c r="C272" s="4">
        <f t="array" ref="C272">IF($A272="","",N(INDIRECT("'Pull Sheet'!AA34")))</f>
        <v/>
      </c>
      <c r="D272" s="4">
        <f>IF($B272="","",IF(IFERROR(VALUE(LEFT(LOWER(LEFT($A272,FIND("|",$A272)-1)),3)),IFERROR(VALUE(LEFT(LOWER(LEFT($A272,FIND("|",$A272)-1)),2)),IFERROR(VALUE(LEFT(LOWER(LEFT($A272,FIND("|",$A272)-1)),1)),-1)))&gt;=0,TEXT(IFERROR(VALUE(LEFT(LOWER(LEFT($A272,FIND("|",$A272)-1)),3)),IFERROR(VALUE(LEFT(LOWER(LEFT($A272,FIND("|",$A272)-1)),2)),IFERROR(VALUE(LEFT(LOWER(LEFT($A272,FIND("|",$A272)-1)),1)),-1))),"000000")&amp;MID(LOWER(LEFT($A272,FIND("|",$A272)-1)),LEN(TEXT(IFERROR(VALUE(LEFT(LOWER(LEFT($A272,FIND("|",$A272)-1)),3)),IFERROR(VALUE(LEFT(LOWER(LEFT($A272,FIND("|",$A272)-1)),2)),IFERROR(VALUE(LEFT(LOWER(LEFT($A272,FIND("|",$A272)-1)),1)),-1))),"0"))+1,99),LOWER(LEFT($A272,FIND("|",$A272)-1)))&amp;CHAR(9)&amp;TEXT(IF(SUBSTITUTE(MID($A272,FIND("|",$A272)+1,50),"'","")="",0,IFERROR(VALUE(SUBSTITUTE(MID($A272,FIND("|",$A272)+1,50),"'","")),999999)),"000000")&amp;CHAR(9)&amp;TEXT($B272,"0000"))</f>
        <v/>
      </c>
      <c r="E272" s="4">
        <f>IF($D272="","",SUMPRODUCT(($D$5:$D$364&lt;&gt;"")*($D$5:$D$364&lt;$D272))+1)</f>
        <v/>
      </c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70">
      <c r="A273" s="4">
        <f t="array" ref="A273">IF(N(INDIRECT("'Pull Sheet'!AA35"))&gt;0,INDIRECT("'Pull Sheet'!Y35")&amp;"|"&amp;INDIRECT("'Pull Sheet'!Z35"),"")</f>
        <v/>
      </c>
      <c r="B273" s="4">
        <f>IF(AND($A273&lt;&gt;"",COUNTIF($A$5:$A273,$A273)=1),MAX($B$4:$B272)+1,"")</f>
        <v/>
      </c>
      <c r="C273" s="4">
        <f t="array" ref="C273">IF($A273="","",N(INDIRECT("'Pull Sheet'!AA35")))</f>
        <v/>
      </c>
      <c r="D273" s="4">
        <f>IF($B273="","",IF(IFERROR(VALUE(LEFT(LOWER(LEFT($A273,FIND("|",$A273)-1)),3)),IFERROR(VALUE(LEFT(LOWER(LEFT($A273,FIND("|",$A273)-1)),2)),IFERROR(VALUE(LEFT(LOWER(LEFT($A273,FIND("|",$A273)-1)),1)),-1)))&gt;=0,TEXT(IFERROR(VALUE(LEFT(LOWER(LEFT($A273,FIND("|",$A273)-1)),3)),IFERROR(VALUE(LEFT(LOWER(LEFT($A273,FIND("|",$A273)-1)),2)),IFERROR(VALUE(LEFT(LOWER(LEFT($A273,FIND("|",$A273)-1)),1)),-1))),"000000")&amp;MID(LOWER(LEFT($A273,FIND("|",$A273)-1)),LEN(TEXT(IFERROR(VALUE(LEFT(LOWER(LEFT($A273,FIND("|",$A273)-1)),3)),IFERROR(VALUE(LEFT(LOWER(LEFT($A273,FIND("|",$A273)-1)),2)),IFERROR(VALUE(LEFT(LOWER(LEFT($A273,FIND("|",$A273)-1)),1)),-1))),"0"))+1,99),LOWER(LEFT($A273,FIND("|",$A273)-1)))&amp;CHAR(9)&amp;TEXT(IF(SUBSTITUTE(MID($A273,FIND("|",$A273)+1,50),"'","")="",0,IFERROR(VALUE(SUBSTITUTE(MID($A273,FIND("|",$A273)+1,50),"'","")),999999)),"000000")&amp;CHAR(9)&amp;TEXT($B273,"0000"))</f>
        <v/>
      </c>
      <c r="E273" s="4">
        <f>IF($D273="","",SUMPRODUCT(($D$5:$D$364&lt;&gt;"")*($D$5:$D$364&lt;$D273))+1)</f>
        <v/>
      </c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70">
      <c r="A274" s="4">
        <f t="array" ref="A274">IF(N(INDIRECT("'Pull Sheet'!AA36"))&gt;0,INDIRECT("'Pull Sheet'!Y36")&amp;"|"&amp;INDIRECT("'Pull Sheet'!Z36"),"")</f>
        <v/>
      </c>
      <c r="B274" s="4">
        <f>IF(AND($A274&lt;&gt;"",COUNTIF($A$5:$A274,$A274)=1),MAX($B$4:$B273)+1,"")</f>
        <v/>
      </c>
      <c r="C274" s="4">
        <f t="array" ref="C274">IF($A274="","",N(INDIRECT("'Pull Sheet'!AA36")))</f>
        <v/>
      </c>
      <c r="D274" s="4">
        <f>IF($B274="","",IF(IFERROR(VALUE(LEFT(LOWER(LEFT($A274,FIND("|",$A274)-1)),3)),IFERROR(VALUE(LEFT(LOWER(LEFT($A274,FIND("|",$A274)-1)),2)),IFERROR(VALUE(LEFT(LOWER(LEFT($A274,FIND("|",$A274)-1)),1)),-1)))&gt;=0,TEXT(IFERROR(VALUE(LEFT(LOWER(LEFT($A274,FIND("|",$A274)-1)),3)),IFERROR(VALUE(LEFT(LOWER(LEFT($A274,FIND("|",$A274)-1)),2)),IFERROR(VALUE(LEFT(LOWER(LEFT($A274,FIND("|",$A274)-1)),1)),-1))),"000000")&amp;MID(LOWER(LEFT($A274,FIND("|",$A274)-1)),LEN(TEXT(IFERROR(VALUE(LEFT(LOWER(LEFT($A274,FIND("|",$A274)-1)),3)),IFERROR(VALUE(LEFT(LOWER(LEFT($A274,FIND("|",$A274)-1)),2)),IFERROR(VALUE(LEFT(LOWER(LEFT($A274,FIND("|",$A274)-1)),1)),-1))),"0"))+1,99),LOWER(LEFT($A274,FIND("|",$A274)-1)))&amp;CHAR(9)&amp;TEXT(IF(SUBSTITUTE(MID($A274,FIND("|",$A274)+1,50),"'","")="",0,IFERROR(VALUE(SUBSTITUTE(MID($A274,FIND("|",$A274)+1,50),"'","")),999999)),"000000")&amp;CHAR(9)&amp;TEXT($B274,"0000"))</f>
        <v/>
      </c>
      <c r="E274" s="4">
        <f>IF($D274="","",SUMPRODUCT(($D$5:$D$364&lt;&gt;"")*($D$5:$D$364&lt;$D274))+1)</f>
        <v/>
      </c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70">
      <c r="A275" s="4">
        <f t="array" ref="A275">IF(N(INDIRECT("'Pull Sheet'!AA37"))&gt;0,INDIRECT("'Pull Sheet'!Y37")&amp;"|"&amp;INDIRECT("'Pull Sheet'!Z37"),"")</f>
        <v/>
      </c>
      <c r="B275" s="4">
        <f>IF(AND($A275&lt;&gt;"",COUNTIF($A$5:$A275,$A275)=1),MAX($B$4:$B274)+1,"")</f>
        <v/>
      </c>
      <c r="C275" s="4">
        <f t="array" ref="C275">IF($A275="","",N(INDIRECT("'Pull Sheet'!AA37")))</f>
        <v/>
      </c>
      <c r="D275" s="4">
        <f>IF($B275="","",IF(IFERROR(VALUE(LEFT(LOWER(LEFT($A275,FIND("|",$A275)-1)),3)),IFERROR(VALUE(LEFT(LOWER(LEFT($A275,FIND("|",$A275)-1)),2)),IFERROR(VALUE(LEFT(LOWER(LEFT($A275,FIND("|",$A275)-1)),1)),-1)))&gt;=0,TEXT(IFERROR(VALUE(LEFT(LOWER(LEFT($A275,FIND("|",$A275)-1)),3)),IFERROR(VALUE(LEFT(LOWER(LEFT($A275,FIND("|",$A275)-1)),2)),IFERROR(VALUE(LEFT(LOWER(LEFT($A275,FIND("|",$A275)-1)),1)),-1))),"000000")&amp;MID(LOWER(LEFT($A275,FIND("|",$A275)-1)),LEN(TEXT(IFERROR(VALUE(LEFT(LOWER(LEFT($A275,FIND("|",$A275)-1)),3)),IFERROR(VALUE(LEFT(LOWER(LEFT($A275,FIND("|",$A275)-1)),2)),IFERROR(VALUE(LEFT(LOWER(LEFT($A275,FIND("|",$A275)-1)),1)),-1))),"0"))+1,99),LOWER(LEFT($A275,FIND("|",$A275)-1)))&amp;CHAR(9)&amp;TEXT(IF(SUBSTITUTE(MID($A275,FIND("|",$A275)+1,50),"'","")="",0,IFERROR(VALUE(SUBSTITUTE(MID($A275,FIND("|",$A275)+1,50),"'","")),999999)),"000000")&amp;CHAR(9)&amp;TEXT($B275,"0000"))</f>
        <v/>
      </c>
      <c r="E275" s="4">
        <f>IF($D275="","",SUMPRODUCT(($D$5:$D$364&lt;&gt;"")*($D$5:$D$364&lt;$D275))+1)</f>
        <v/>
      </c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70">
      <c r="A276" s="4">
        <f t="array" ref="A276">IF(N(INDIRECT("'Pull Sheet'!AA38"))&gt;0,INDIRECT("'Pull Sheet'!Y38")&amp;"|"&amp;INDIRECT("'Pull Sheet'!Z38"),"")</f>
        <v/>
      </c>
      <c r="B276" s="4">
        <f>IF(AND($A276&lt;&gt;"",COUNTIF($A$5:$A276,$A276)=1),MAX($B$4:$B275)+1,"")</f>
        <v/>
      </c>
      <c r="C276" s="4">
        <f t="array" ref="C276">IF($A276="","",N(INDIRECT("'Pull Sheet'!AA38")))</f>
        <v/>
      </c>
      <c r="D276" s="4">
        <f>IF($B276="","",IF(IFERROR(VALUE(LEFT(LOWER(LEFT($A276,FIND("|",$A276)-1)),3)),IFERROR(VALUE(LEFT(LOWER(LEFT($A276,FIND("|",$A276)-1)),2)),IFERROR(VALUE(LEFT(LOWER(LEFT($A276,FIND("|",$A276)-1)),1)),-1)))&gt;=0,TEXT(IFERROR(VALUE(LEFT(LOWER(LEFT($A276,FIND("|",$A276)-1)),3)),IFERROR(VALUE(LEFT(LOWER(LEFT($A276,FIND("|",$A276)-1)),2)),IFERROR(VALUE(LEFT(LOWER(LEFT($A276,FIND("|",$A276)-1)),1)),-1))),"000000")&amp;MID(LOWER(LEFT($A276,FIND("|",$A276)-1)),LEN(TEXT(IFERROR(VALUE(LEFT(LOWER(LEFT($A276,FIND("|",$A276)-1)),3)),IFERROR(VALUE(LEFT(LOWER(LEFT($A276,FIND("|",$A276)-1)),2)),IFERROR(VALUE(LEFT(LOWER(LEFT($A276,FIND("|",$A276)-1)),1)),-1))),"0"))+1,99),LOWER(LEFT($A276,FIND("|",$A276)-1)))&amp;CHAR(9)&amp;TEXT(IF(SUBSTITUTE(MID($A276,FIND("|",$A276)+1,50),"'","")="",0,IFERROR(VALUE(SUBSTITUTE(MID($A276,FIND("|",$A276)+1,50),"'","")),999999)),"000000")&amp;CHAR(9)&amp;TEXT($B276,"0000"))</f>
        <v/>
      </c>
      <c r="E276" s="4">
        <f>IF($D276="","",SUMPRODUCT(($D$5:$D$364&lt;&gt;"")*($D$5:$D$364&lt;$D276))+1)</f>
        <v/>
      </c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70">
      <c r="A277" s="4">
        <f t="array" ref="A277">IF(N(INDIRECT("'Pull Sheet'!AA39"))&gt;0,INDIRECT("'Pull Sheet'!Y39")&amp;"|"&amp;INDIRECT("'Pull Sheet'!Z39"),"")</f>
        <v/>
      </c>
      <c r="B277" s="4">
        <f>IF(AND($A277&lt;&gt;"",COUNTIF($A$5:$A277,$A277)=1),MAX($B$4:$B276)+1,"")</f>
        <v/>
      </c>
      <c r="C277" s="4">
        <f t="array" ref="C277">IF($A277="","",N(INDIRECT("'Pull Sheet'!AA39")))</f>
        <v/>
      </c>
      <c r="D277" s="4">
        <f>IF($B277="","",IF(IFERROR(VALUE(LEFT(LOWER(LEFT($A277,FIND("|",$A277)-1)),3)),IFERROR(VALUE(LEFT(LOWER(LEFT($A277,FIND("|",$A277)-1)),2)),IFERROR(VALUE(LEFT(LOWER(LEFT($A277,FIND("|",$A277)-1)),1)),-1)))&gt;=0,TEXT(IFERROR(VALUE(LEFT(LOWER(LEFT($A277,FIND("|",$A277)-1)),3)),IFERROR(VALUE(LEFT(LOWER(LEFT($A277,FIND("|",$A277)-1)),2)),IFERROR(VALUE(LEFT(LOWER(LEFT($A277,FIND("|",$A277)-1)),1)),-1))),"000000")&amp;MID(LOWER(LEFT($A277,FIND("|",$A277)-1)),LEN(TEXT(IFERROR(VALUE(LEFT(LOWER(LEFT($A277,FIND("|",$A277)-1)),3)),IFERROR(VALUE(LEFT(LOWER(LEFT($A277,FIND("|",$A277)-1)),2)),IFERROR(VALUE(LEFT(LOWER(LEFT($A277,FIND("|",$A277)-1)),1)),-1))),"0"))+1,99),LOWER(LEFT($A277,FIND("|",$A277)-1)))&amp;CHAR(9)&amp;TEXT(IF(SUBSTITUTE(MID($A277,FIND("|",$A277)+1,50),"'","")="",0,IFERROR(VALUE(SUBSTITUTE(MID($A277,FIND("|",$A277)+1,50),"'","")),999999)),"000000")&amp;CHAR(9)&amp;TEXT($B277,"0000"))</f>
        <v/>
      </c>
      <c r="E277" s="4">
        <f>IF($D277="","",SUMPRODUCT(($D$5:$D$364&lt;&gt;"")*($D$5:$D$364&lt;$D277))+1)</f>
        <v/>
      </c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70">
      <c r="A278" s="4">
        <f t="array" ref="A278">IF(N(INDIRECT("'Pull Sheet'!AA40"))&gt;0,INDIRECT("'Pull Sheet'!Y40")&amp;"|"&amp;INDIRECT("'Pull Sheet'!Z40"),"")</f>
        <v/>
      </c>
      <c r="B278" s="4">
        <f>IF(AND($A278&lt;&gt;"",COUNTIF($A$5:$A278,$A278)=1),MAX($B$4:$B277)+1,"")</f>
        <v/>
      </c>
      <c r="C278" s="4">
        <f t="array" ref="C278">IF($A278="","",N(INDIRECT("'Pull Sheet'!AA40")))</f>
        <v/>
      </c>
      <c r="D278" s="4">
        <f>IF($B278="","",IF(IFERROR(VALUE(LEFT(LOWER(LEFT($A278,FIND("|",$A278)-1)),3)),IFERROR(VALUE(LEFT(LOWER(LEFT($A278,FIND("|",$A278)-1)),2)),IFERROR(VALUE(LEFT(LOWER(LEFT($A278,FIND("|",$A278)-1)),1)),-1)))&gt;=0,TEXT(IFERROR(VALUE(LEFT(LOWER(LEFT($A278,FIND("|",$A278)-1)),3)),IFERROR(VALUE(LEFT(LOWER(LEFT($A278,FIND("|",$A278)-1)),2)),IFERROR(VALUE(LEFT(LOWER(LEFT($A278,FIND("|",$A278)-1)),1)),-1))),"000000")&amp;MID(LOWER(LEFT($A278,FIND("|",$A278)-1)),LEN(TEXT(IFERROR(VALUE(LEFT(LOWER(LEFT($A278,FIND("|",$A278)-1)),3)),IFERROR(VALUE(LEFT(LOWER(LEFT($A278,FIND("|",$A278)-1)),2)),IFERROR(VALUE(LEFT(LOWER(LEFT($A278,FIND("|",$A278)-1)),1)),-1))),"0"))+1,99),LOWER(LEFT($A278,FIND("|",$A278)-1)))&amp;CHAR(9)&amp;TEXT(IF(SUBSTITUTE(MID($A278,FIND("|",$A278)+1,50),"'","")="",0,IFERROR(VALUE(SUBSTITUTE(MID($A278,FIND("|",$A278)+1,50),"'","")),999999)),"000000")&amp;CHAR(9)&amp;TEXT($B278,"0000"))</f>
        <v/>
      </c>
      <c r="E278" s="4">
        <f>IF($D278="","",SUMPRODUCT(($D$5:$D$364&lt;&gt;"")*($D$5:$D$364&lt;$D278))+1)</f>
        <v/>
      </c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70">
      <c r="A279" s="4">
        <f t="array" ref="A279">IF(N(INDIRECT("'Pull Sheet'!AA41"))&gt;0,INDIRECT("'Pull Sheet'!Y41")&amp;"|"&amp;INDIRECT("'Pull Sheet'!Z41"),"")</f>
        <v/>
      </c>
      <c r="B279" s="4">
        <f>IF(AND($A279&lt;&gt;"",COUNTIF($A$5:$A279,$A279)=1),MAX($B$4:$B278)+1,"")</f>
        <v/>
      </c>
      <c r="C279" s="4">
        <f t="array" ref="C279">IF($A279="","",N(INDIRECT("'Pull Sheet'!AA41")))</f>
        <v/>
      </c>
      <c r="D279" s="4">
        <f>IF($B279="","",IF(IFERROR(VALUE(LEFT(LOWER(LEFT($A279,FIND("|",$A279)-1)),3)),IFERROR(VALUE(LEFT(LOWER(LEFT($A279,FIND("|",$A279)-1)),2)),IFERROR(VALUE(LEFT(LOWER(LEFT($A279,FIND("|",$A279)-1)),1)),-1)))&gt;=0,TEXT(IFERROR(VALUE(LEFT(LOWER(LEFT($A279,FIND("|",$A279)-1)),3)),IFERROR(VALUE(LEFT(LOWER(LEFT($A279,FIND("|",$A279)-1)),2)),IFERROR(VALUE(LEFT(LOWER(LEFT($A279,FIND("|",$A279)-1)),1)),-1))),"000000")&amp;MID(LOWER(LEFT($A279,FIND("|",$A279)-1)),LEN(TEXT(IFERROR(VALUE(LEFT(LOWER(LEFT($A279,FIND("|",$A279)-1)),3)),IFERROR(VALUE(LEFT(LOWER(LEFT($A279,FIND("|",$A279)-1)),2)),IFERROR(VALUE(LEFT(LOWER(LEFT($A279,FIND("|",$A279)-1)),1)),-1))),"0"))+1,99),LOWER(LEFT($A279,FIND("|",$A279)-1)))&amp;CHAR(9)&amp;TEXT(IF(SUBSTITUTE(MID($A279,FIND("|",$A279)+1,50),"'","")="",0,IFERROR(VALUE(SUBSTITUTE(MID($A279,FIND("|",$A279)+1,50),"'","")),999999)),"000000")&amp;CHAR(9)&amp;TEXT($B279,"0000"))</f>
        <v/>
      </c>
      <c r="E279" s="4">
        <f>IF($D279="","",SUMPRODUCT(($D$5:$D$364&lt;&gt;"")*($D$5:$D$364&lt;$D279))+1)</f>
        <v/>
      </c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70">
      <c r="A280" s="4">
        <f t="array" ref="A280">IF(N(INDIRECT("'Pull Sheet'!AA42"))&gt;0,INDIRECT("'Pull Sheet'!Y42")&amp;"|"&amp;INDIRECT("'Pull Sheet'!Z42"),"")</f>
        <v/>
      </c>
      <c r="B280" s="4">
        <f>IF(AND($A280&lt;&gt;"",COUNTIF($A$5:$A280,$A280)=1),MAX($B$4:$B279)+1,"")</f>
        <v/>
      </c>
      <c r="C280" s="4">
        <f t="array" ref="C280">IF($A280="","",N(INDIRECT("'Pull Sheet'!AA42")))</f>
        <v/>
      </c>
      <c r="D280" s="4">
        <f>IF($B280="","",IF(IFERROR(VALUE(LEFT(LOWER(LEFT($A280,FIND("|",$A280)-1)),3)),IFERROR(VALUE(LEFT(LOWER(LEFT($A280,FIND("|",$A280)-1)),2)),IFERROR(VALUE(LEFT(LOWER(LEFT($A280,FIND("|",$A280)-1)),1)),-1)))&gt;=0,TEXT(IFERROR(VALUE(LEFT(LOWER(LEFT($A280,FIND("|",$A280)-1)),3)),IFERROR(VALUE(LEFT(LOWER(LEFT($A280,FIND("|",$A280)-1)),2)),IFERROR(VALUE(LEFT(LOWER(LEFT($A280,FIND("|",$A280)-1)),1)),-1))),"000000")&amp;MID(LOWER(LEFT($A280,FIND("|",$A280)-1)),LEN(TEXT(IFERROR(VALUE(LEFT(LOWER(LEFT($A280,FIND("|",$A280)-1)),3)),IFERROR(VALUE(LEFT(LOWER(LEFT($A280,FIND("|",$A280)-1)),2)),IFERROR(VALUE(LEFT(LOWER(LEFT($A280,FIND("|",$A280)-1)),1)),-1))),"0"))+1,99),LOWER(LEFT($A280,FIND("|",$A280)-1)))&amp;CHAR(9)&amp;TEXT(IF(SUBSTITUTE(MID($A280,FIND("|",$A280)+1,50),"'","")="",0,IFERROR(VALUE(SUBSTITUTE(MID($A280,FIND("|",$A280)+1,50),"'","")),999999)),"000000")&amp;CHAR(9)&amp;TEXT($B280,"0000"))</f>
        <v/>
      </c>
      <c r="E280" s="4">
        <f>IF($D280="","",SUMPRODUCT(($D$5:$D$364&lt;&gt;"")*($D$5:$D$364&lt;$D280))+1)</f>
        <v/>
      </c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70">
      <c r="A281" s="4">
        <f t="array" ref="A281">IF(N(INDIRECT("'Pull Sheet'!AA43"))&gt;0,INDIRECT("'Pull Sheet'!Y43")&amp;"|"&amp;INDIRECT("'Pull Sheet'!Z43"),"")</f>
        <v/>
      </c>
      <c r="B281" s="4">
        <f>IF(AND($A281&lt;&gt;"",COUNTIF($A$5:$A281,$A281)=1),MAX($B$4:$B280)+1,"")</f>
        <v/>
      </c>
      <c r="C281" s="4">
        <f t="array" ref="C281">IF($A281="","",N(INDIRECT("'Pull Sheet'!AA43")))</f>
        <v/>
      </c>
      <c r="D281" s="4">
        <f>IF($B281="","",IF(IFERROR(VALUE(LEFT(LOWER(LEFT($A281,FIND("|",$A281)-1)),3)),IFERROR(VALUE(LEFT(LOWER(LEFT($A281,FIND("|",$A281)-1)),2)),IFERROR(VALUE(LEFT(LOWER(LEFT($A281,FIND("|",$A281)-1)),1)),-1)))&gt;=0,TEXT(IFERROR(VALUE(LEFT(LOWER(LEFT($A281,FIND("|",$A281)-1)),3)),IFERROR(VALUE(LEFT(LOWER(LEFT($A281,FIND("|",$A281)-1)),2)),IFERROR(VALUE(LEFT(LOWER(LEFT($A281,FIND("|",$A281)-1)),1)),-1))),"000000")&amp;MID(LOWER(LEFT($A281,FIND("|",$A281)-1)),LEN(TEXT(IFERROR(VALUE(LEFT(LOWER(LEFT($A281,FIND("|",$A281)-1)),3)),IFERROR(VALUE(LEFT(LOWER(LEFT($A281,FIND("|",$A281)-1)),2)),IFERROR(VALUE(LEFT(LOWER(LEFT($A281,FIND("|",$A281)-1)),1)),-1))),"0"))+1,99),LOWER(LEFT($A281,FIND("|",$A281)-1)))&amp;CHAR(9)&amp;TEXT(IF(SUBSTITUTE(MID($A281,FIND("|",$A281)+1,50),"'","")="",0,IFERROR(VALUE(SUBSTITUTE(MID($A281,FIND("|",$A281)+1,50),"'","")),999999)),"000000")&amp;CHAR(9)&amp;TEXT($B281,"0000"))</f>
        <v/>
      </c>
      <c r="E281" s="4">
        <f>IF($D281="","",SUMPRODUCT(($D$5:$D$364&lt;&gt;"")*($D$5:$D$364&lt;$D281))+1)</f>
        <v/>
      </c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70">
      <c r="A282" s="4">
        <f t="array" ref="A282">IF(N(INDIRECT("'Pull Sheet'!AA44"))&gt;0,INDIRECT("'Pull Sheet'!Y44")&amp;"|"&amp;INDIRECT("'Pull Sheet'!Z44"),"")</f>
        <v/>
      </c>
      <c r="B282" s="4">
        <f>IF(AND($A282&lt;&gt;"",COUNTIF($A$5:$A282,$A282)=1),MAX($B$4:$B281)+1,"")</f>
        <v/>
      </c>
      <c r="C282" s="4">
        <f t="array" ref="C282">IF($A282="","",N(INDIRECT("'Pull Sheet'!AA44")))</f>
        <v/>
      </c>
      <c r="D282" s="4">
        <f>IF($B282="","",IF(IFERROR(VALUE(LEFT(LOWER(LEFT($A282,FIND("|",$A282)-1)),3)),IFERROR(VALUE(LEFT(LOWER(LEFT($A282,FIND("|",$A282)-1)),2)),IFERROR(VALUE(LEFT(LOWER(LEFT($A282,FIND("|",$A282)-1)),1)),-1)))&gt;=0,TEXT(IFERROR(VALUE(LEFT(LOWER(LEFT($A282,FIND("|",$A282)-1)),3)),IFERROR(VALUE(LEFT(LOWER(LEFT($A282,FIND("|",$A282)-1)),2)),IFERROR(VALUE(LEFT(LOWER(LEFT($A282,FIND("|",$A282)-1)),1)),-1))),"000000")&amp;MID(LOWER(LEFT($A282,FIND("|",$A282)-1)),LEN(TEXT(IFERROR(VALUE(LEFT(LOWER(LEFT($A282,FIND("|",$A282)-1)),3)),IFERROR(VALUE(LEFT(LOWER(LEFT($A282,FIND("|",$A282)-1)),2)),IFERROR(VALUE(LEFT(LOWER(LEFT($A282,FIND("|",$A282)-1)),1)),-1))),"0"))+1,99),LOWER(LEFT($A282,FIND("|",$A282)-1)))&amp;CHAR(9)&amp;TEXT(IF(SUBSTITUTE(MID($A282,FIND("|",$A282)+1,50),"'","")="",0,IFERROR(VALUE(SUBSTITUTE(MID($A282,FIND("|",$A282)+1,50),"'","")),999999)),"000000")&amp;CHAR(9)&amp;TEXT($B282,"0000"))</f>
        <v/>
      </c>
      <c r="E282" s="4">
        <f>IF($D282="","",SUMPRODUCT(($D$5:$D$364&lt;&gt;"")*($D$5:$D$364&lt;$D282))+1)</f>
        <v/>
      </c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70">
      <c r="A283" s="4">
        <f t="array" ref="A283">IF(N(INDIRECT("'Pull Sheet'!AA45"))&gt;0,INDIRECT("'Pull Sheet'!Y45")&amp;"|"&amp;INDIRECT("'Pull Sheet'!Z45"),"")</f>
        <v/>
      </c>
      <c r="B283" s="4">
        <f>IF(AND($A283&lt;&gt;"",COUNTIF($A$5:$A283,$A283)=1),MAX($B$4:$B282)+1,"")</f>
        <v/>
      </c>
      <c r="C283" s="4">
        <f t="array" ref="C283">IF($A283="","",N(INDIRECT("'Pull Sheet'!AA45")))</f>
        <v/>
      </c>
      <c r="D283" s="4">
        <f>IF($B283="","",IF(IFERROR(VALUE(LEFT(LOWER(LEFT($A283,FIND("|",$A283)-1)),3)),IFERROR(VALUE(LEFT(LOWER(LEFT($A283,FIND("|",$A283)-1)),2)),IFERROR(VALUE(LEFT(LOWER(LEFT($A283,FIND("|",$A283)-1)),1)),-1)))&gt;=0,TEXT(IFERROR(VALUE(LEFT(LOWER(LEFT($A283,FIND("|",$A283)-1)),3)),IFERROR(VALUE(LEFT(LOWER(LEFT($A283,FIND("|",$A283)-1)),2)),IFERROR(VALUE(LEFT(LOWER(LEFT($A283,FIND("|",$A283)-1)),1)),-1))),"000000")&amp;MID(LOWER(LEFT($A283,FIND("|",$A283)-1)),LEN(TEXT(IFERROR(VALUE(LEFT(LOWER(LEFT($A283,FIND("|",$A283)-1)),3)),IFERROR(VALUE(LEFT(LOWER(LEFT($A283,FIND("|",$A283)-1)),2)),IFERROR(VALUE(LEFT(LOWER(LEFT($A283,FIND("|",$A283)-1)),1)),-1))),"0"))+1,99),LOWER(LEFT($A283,FIND("|",$A283)-1)))&amp;CHAR(9)&amp;TEXT(IF(SUBSTITUTE(MID($A283,FIND("|",$A283)+1,50),"'","")="",0,IFERROR(VALUE(SUBSTITUTE(MID($A283,FIND("|",$A283)+1,50),"'","")),999999)),"000000")&amp;CHAR(9)&amp;TEXT($B283,"0000"))</f>
        <v/>
      </c>
      <c r="E283" s="4">
        <f>IF($D283="","",SUMPRODUCT(($D$5:$D$364&lt;&gt;"")*($D$5:$D$364&lt;$D283))+1)</f>
        <v/>
      </c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70">
      <c r="A284" s="4">
        <f t="array" ref="A284">IF(N(INDIRECT("'Pull Sheet'!AA46"))&gt;0,INDIRECT("'Pull Sheet'!Y46")&amp;"|"&amp;INDIRECT("'Pull Sheet'!Z46"),"")</f>
        <v/>
      </c>
      <c r="B284" s="4">
        <f>IF(AND($A284&lt;&gt;"",COUNTIF($A$5:$A284,$A284)=1),MAX($B$4:$B283)+1,"")</f>
        <v/>
      </c>
      <c r="C284" s="4">
        <f t="array" ref="C284">IF($A284="","",N(INDIRECT("'Pull Sheet'!AA46")))</f>
        <v/>
      </c>
      <c r="D284" s="4">
        <f>IF($B284="","",IF(IFERROR(VALUE(LEFT(LOWER(LEFT($A284,FIND("|",$A284)-1)),3)),IFERROR(VALUE(LEFT(LOWER(LEFT($A284,FIND("|",$A284)-1)),2)),IFERROR(VALUE(LEFT(LOWER(LEFT($A284,FIND("|",$A284)-1)),1)),-1)))&gt;=0,TEXT(IFERROR(VALUE(LEFT(LOWER(LEFT($A284,FIND("|",$A284)-1)),3)),IFERROR(VALUE(LEFT(LOWER(LEFT($A284,FIND("|",$A284)-1)),2)),IFERROR(VALUE(LEFT(LOWER(LEFT($A284,FIND("|",$A284)-1)),1)),-1))),"000000")&amp;MID(LOWER(LEFT($A284,FIND("|",$A284)-1)),LEN(TEXT(IFERROR(VALUE(LEFT(LOWER(LEFT($A284,FIND("|",$A284)-1)),3)),IFERROR(VALUE(LEFT(LOWER(LEFT($A284,FIND("|",$A284)-1)),2)),IFERROR(VALUE(LEFT(LOWER(LEFT($A284,FIND("|",$A284)-1)),1)),-1))),"0"))+1,99),LOWER(LEFT($A284,FIND("|",$A284)-1)))&amp;CHAR(9)&amp;TEXT(IF(SUBSTITUTE(MID($A284,FIND("|",$A284)+1,50),"'","")="",0,IFERROR(VALUE(SUBSTITUTE(MID($A284,FIND("|",$A284)+1,50),"'","")),999999)),"000000")&amp;CHAR(9)&amp;TEXT($B284,"0000"))</f>
        <v/>
      </c>
      <c r="E284" s="4">
        <f>IF($D284="","",SUMPRODUCT(($D$5:$D$364&lt;&gt;"")*($D$5:$D$364&lt;$D284))+1)</f>
        <v/>
      </c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70">
      <c r="A285" s="4">
        <f t="array" ref="A285">IF(N(INDIRECT("'Pull Sheet'!AA47"))&gt;0,INDIRECT("'Pull Sheet'!Y47")&amp;"|"&amp;INDIRECT("'Pull Sheet'!Z47"),"")</f>
        <v/>
      </c>
      <c r="B285" s="4">
        <f>IF(AND($A285&lt;&gt;"",COUNTIF($A$5:$A285,$A285)=1),MAX($B$4:$B284)+1,"")</f>
        <v/>
      </c>
      <c r="C285" s="4">
        <f t="array" ref="C285">IF($A285="","",N(INDIRECT("'Pull Sheet'!AA47")))</f>
        <v/>
      </c>
      <c r="D285" s="4">
        <f>IF($B285="","",IF(IFERROR(VALUE(LEFT(LOWER(LEFT($A285,FIND("|",$A285)-1)),3)),IFERROR(VALUE(LEFT(LOWER(LEFT($A285,FIND("|",$A285)-1)),2)),IFERROR(VALUE(LEFT(LOWER(LEFT($A285,FIND("|",$A285)-1)),1)),-1)))&gt;=0,TEXT(IFERROR(VALUE(LEFT(LOWER(LEFT($A285,FIND("|",$A285)-1)),3)),IFERROR(VALUE(LEFT(LOWER(LEFT($A285,FIND("|",$A285)-1)),2)),IFERROR(VALUE(LEFT(LOWER(LEFT($A285,FIND("|",$A285)-1)),1)),-1))),"000000")&amp;MID(LOWER(LEFT($A285,FIND("|",$A285)-1)),LEN(TEXT(IFERROR(VALUE(LEFT(LOWER(LEFT($A285,FIND("|",$A285)-1)),3)),IFERROR(VALUE(LEFT(LOWER(LEFT($A285,FIND("|",$A285)-1)),2)),IFERROR(VALUE(LEFT(LOWER(LEFT($A285,FIND("|",$A285)-1)),1)),-1))),"0"))+1,99),LOWER(LEFT($A285,FIND("|",$A285)-1)))&amp;CHAR(9)&amp;TEXT(IF(SUBSTITUTE(MID($A285,FIND("|",$A285)+1,50),"'","")="",0,IFERROR(VALUE(SUBSTITUTE(MID($A285,FIND("|",$A285)+1,50),"'","")),999999)),"000000")&amp;CHAR(9)&amp;TEXT($B285,"0000"))</f>
        <v/>
      </c>
      <c r="E285" s="4">
        <f>IF($D285="","",SUMPRODUCT(($D$5:$D$364&lt;&gt;"")*($D$5:$D$364&lt;$D285))+1)</f>
        <v/>
      </c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70">
      <c r="A286" s="4">
        <f t="array" ref="A286">IF(N(INDIRECT("'Pull Sheet'!AA48"))&gt;0,INDIRECT("'Pull Sheet'!Y48")&amp;"|"&amp;INDIRECT("'Pull Sheet'!Z48"),"")</f>
        <v/>
      </c>
      <c r="B286" s="4">
        <f>IF(AND($A286&lt;&gt;"",COUNTIF($A$5:$A286,$A286)=1),MAX($B$4:$B285)+1,"")</f>
        <v/>
      </c>
      <c r="C286" s="4">
        <f t="array" ref="C286">IF($A286="","",N(INDIRECT("'Pull Sheet'!AA48")))</f>
        <v/>
      </c>
      <c r="D286" s="4">
        <f>IF($B286="","",IF(IFERROR(VALUE(LEFT(LOWER(LEFT($A286,FIND("|",$A286)-1)),3)),IFERROR(VALUE(LEFT(LOWER(LEFT($A286,FIND("|",$A286)-1)),2)),IFERROR(VALUE(LEFT(LOWER(LEFT($A286,FIND("|",$A286)-1)),1)),-1)))&gt;=0,TEXT(IFERROR(VALUE(LEFT(LOWER(LEFT($A286,FIND("|",$A286)-1)),3)),IFERROR(VALUE(LEFT(LOWER(LEFT($A286,FIND("|",$A286)-1)),2)),IFERROR(VALUE(LEFT(LOWER(LEFT($A286,FIND("|",$A286)-1)),1)),-1))),"000000")&amp;MID(LOWER(LEFT($A286,FIND("|",$A286)-1)),LEN(TEXT(IFERROR(VALUE(LEFT(LOWER(LEFT($A286,FIND("|",$A286)-1)),3)),IFERROR(VALUE(LEFT(LOWER(LEFT($A286,FIND("|",$A286)-1)),2)),IFERROR(VALUE(LEFT(LOWER(LEFT($A286,FIND("|",$A286)-1)),1)),-1))),"0"))+1,99),LOWER(LEFT($A286,FIND("|",$A286)-1)))&amp;CHAR(9)&amp;TEXT(IF(SUBSTITUTE(MID($A286,FIND("|",$A286)+1,50),"'","")="",0,IFERROR(VALUE(SUBSTITUTE(MID($A286,FIND("|",$A286)+1,50),"'","")),999999)),"000000")&amp;CHAR(9)&amp;TEXT($B286,"0000"))</f>
        <v/>
      </c>
      <c r="E286" s="4">
        <f>IF($D286="","",SUMPRODUCT(($D$5:$D$364&lt;&gt;"")*($D$5:$D$364&lt;$D286))+1)</f>
        <v/>
      </c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70">
      <c r="A287" s="4">
        <f t="array" ref="A287">IF(N(INDIRECT("'Pull Sheet'!AA49"))&gt;0,INDIRECT("'Pull Sheet'!Y49")&amp;"|"&amp;INDIRECT("'Pull Sheet'!Z49"),"")</f>
        <v/>
      </c>
      <c r="B287" s="4">
        <f>IF(AND($A287&lt;&gt;"",COUNTIF($A$5:$A287,$A287)=1),MAX($B$4:$B286)+1,"")</f>
        <v/>
      </c>
      <c r="C287" s="4">
        <f t="array" ref="C287">IF($A287="","",N(INDIRECT("'Pull Sheet'!AA49")))</f>
        <v/>
      </c>
      <c r="D287" s="4">
        <f>IF($B287="","",IF(IFERROR(VALUE(LEFT(LOWER(LEFT($A287,FIND("|",$A287)-1)),3)),IFERROR(VALUE(LEFT(LOWER(LEFT($A287,FIND("|",$A287)-1)),2)),IFERROR(VALUE(LEFT(LOWER(LEFT($A287,FIND("|",$A287)-1)),1)),-1)))&gt;=0,TEXT(IFERROR(VALUE(LEFT(LOWER(LEFT($A287,FIND("|",$A287)-1)),3)),IFERROR(VALUE(LEFT(LOWER(LEFT($A287,FIND("|",$A287)-1)),2)),IFERROR(VALUE(LEFT(LOWER(LEFT($A287,FIND("|",$A287)-1)),1)),-1))),"000000")&amp;MID(LOWER(LEFT($A287,FIND("|",$A287)-1)),LEN(TEXT(IFERROR(VALUE(LEFT(LOWER(LEFT($A287,FIND("|",$A287)-1)),3)),IFERROR(VALUE(LEFT(LOWER(LEFT($A287,FIND("|",$A287)-1)),2)),IFERROR(VALUE(LEFT(LOWER(LEFT($A287,FIND("|",$A287)-1)),1)),-1))),"0"))+1,99),LOWER(LEFT($A287,FIND("|",$A287)-1)))&amp;CHAR(9)&amp;TEXT(IF(SUBSTITUTE(MID($A287,FIND("|",$A287)+1,50),"'","")="",0,IFERROR(VALUE(SUBSTITUTE(MID($A287,FIND("|",$A287)+1,50),"'","")),999999)),"000000")&amp;CHAR(9)&amp;TEXT($B287,"0000"))</f>
        <v/>
      </c>
      <c r="E287" s="4">
        <f>IF($D287="","",SUMPRODUCT(($D$5:$D$364&lt;&gt;"")*($D$5:$D$364&lt;$D287))+1)</f>
        <v/>
      </c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70">
      <c r="A288" s="4">
        <f t="array" ref="A288">IF(N(INDIRECT("'Pull Sheet'!AA50"))&gt;0,INDIRECT("'Pull Sheet'!Y50")&amp;"|"&amp;INDIRECT("'Pull Sheet'!Z50"),"")</f>
        <v/>
      </c>
      <c r="B288" s="4">
        <f>IF(AND($A288&lt;&gt;"",COUNTIF($A$5:$A288,$A288)=1),MAX($B$4:$B287)+1,"")</f>
        <v/>
      </c>
      <c r="C288" s="4">
        <f t="array" ref="C288">IF($A288="","",N(INDIRECT("'Pull Sheet'!AA50")))</f>
        <v/>
      </c>
      <c r="D288" s="4">
        <f>IF($B288="","",IF(IFERROR(VALUE(LEFT(LOWER(LEFT($A288,FIND("|",$A288)-1)),3)),IFERROR(VALUE(LEFT(LOWER(LEFT($A288,FIND("|",$A288)-1)),2)),IFERROR(VALUE(LEFT(LOWER(LEFT($A288,FIND("|",$A288)-1)),1)),-1)))&gt;=0,TEXT(IFERROR(VALUE(LEFT(LOWER(LEFT($A288,FIND("|",$A288)-1)),3)),IFERROR(VALUE(LEFT(LOWER(LEFT($A288,FIND("|",$A288)-1)),2)),IFERROR(VALUE(LEFT(LOWER(LEFT($A288,FIND("|",$A288)-1)),1)),-1))),"000000")&amp;MID(LOWER(LEFT($A288,FIND("|",$A288)-1)),LEN(TEXT(IFERROR(VALUE(LEFT(LOWER(LEFT($A288,FIND("|",$A288)-1)),3)),IFERROR(VALUE(LEFT(LOWER(LEFT($A288,FIND("|",$A288)-1)),2)),IFERROR(VALUE(LEFT(LOWER(LEFT($A288,FIND("|",$A288)-1)),1)),-1))),"0"))+1,99),LOWER(LEFT($A288,FIND("|",$A288)-1)))&amp;CHAR(9)&amp;TEXT(IF(SUBSTITUTE(MID($A288,FIND("|",$A288)+1,50),"'","")="",0,IFERROR(VALUE(SUBSTITUTE(MID($A288,FIND("|",$A288)+1,50),"'","")),999999)),"000000")&amp;CHAR(9)&amp;TEXT($B288,"0000"))</f>
        <v/>
      </c>
      <c r="E288" s="4">
        <f>IF($D288="","",SUMPRODUCT(($D$5:$D$364&lt;&gt;"")*($D$5:$D$364&lt;$D288))+1)</f>
        <v/>
      </c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70">
      <c r="A289" s="4">
        <f t="array" ref="A289">IF(N(INDIRECT("'Pull Sheet'!AA51"))&gt;0,INDIRECT("'Pull Sheet'!Y51")&amp;"|"&amp;INDIRECT("'Pull Sheet'!Z51"),"")</f>
        <v/>
      </c>
      <c r="B289" s="4">
        <f>IF(AND($A289&lt;&gt;"",COUNTIF($A$5:$A289,$A289)=1),MAX($B$4:$B288)+1,"")</f>
        <v/>
      </c>
      <c r="C289" s="4">
        <f t="array" ref="C289">IF($A289="","",N(INDIRECT("'Pull Sheet'!AA51")))</f>
        <v/>
      </c>
      <c r="D289" s="4">
        <f>IF($B289="","",IF(IFERROR(VALUE(LEFT(LOWER(LEFT($A289,FIND("|",$A289)-1)),3)),IFERROR(VALUE(LEFT(LOWER(LEFT($A289,FIND("|",$A289)-1)),2)),IFERROR(VALUE(LEFT(LOWER(LEFT($A289,FIND("|",$A289)-1)),1)),-1)))&gt;=0,TEXT(IFERROR(VALUE(LEFT(LOWER(LEFT($A289,FIND("|",$A289)-1)),3)),IFERROR(VALUE(LEFT(LOWER(LEFT($A289,FIND("|",$A289)-1)),2)),IFERROR(VALUE(LEFT(LOWER(LEFT($A289,FIND("|",$A289)-1)),1)),-1))),"000000")&amp;MID(LOWER(LEFT($A289,FIND("|",$A289)-1)),LEN(TEXT(IFERROR(VALUE(LEFT(LOWER(LEFT($A289,FIND("|",$A289)-1)),3)),IFERROR(VALUE(LEFT(LOWER(LEFT($A289,FIND("|",$A289)-1)),2)),IFERROR(VALUE(LEFT(LOWER(LEFT($A289,FIND("|",$A289)-1)),1)),-1))),"0"))+1,99),LOWER(LEFT($A289,FIND("|",$A289)-1)))&amp;CHAR(9)&amp;TEXT(IF(SUBSTITUTE(MID($A289,FIND("|",$A289)+1,50),"'","")="",0,IFERROR(VALUE(SUBSTITUTE(MID($A289,FIND("|",$A289)+1,50),"'","")),999999)),"000000")&amp;CHAR(9)&amp;TEXT($B289,"0000"))</f>
        <v/>
      </c>
      <c r="E289" s="4">
        <f>IF($D289="","",SUMPRODUCT(($D$5:$D$364&lt;&gt;"")*($D$5:$D$364&lt;$D289))+1)</f>
        <v/>
      </c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70">
      <c r="A290" s="4">
        <f t="array" ref="A290">IF(N(INDIRECT("'Pull Sheet'!AA52"))&gt;0,INDIRECT("'Pull Sheet'!Y52")&amp;"|"&amp;INDIRECT("'Pull Sheet'!Z52"),"")</f>
        <v/>
      </c>
      <c r="B290" s="4">
        <f>IF(AND($A290&lt;&gt;"",COUNTIF($A$5:$A290,$A290)=1),MAX($B$4:$B289)+1,"")</f>
        <v/>
      </c>
      <c r="C290" s="4">
        <f t="array" ref="C290">IF($A290="","",N(INDIRECT("'Pull Sheet'!AA52")))</f>
        <v/>
      </c>
      <c r="D290" s="4">
        <f>IF($B290="","",IF(IFERROR(VALUE(LEFT(LOWER(LEFT($A290,FIND("|",$A290)-1)),3)),IFERROR(VALUE(LEFT(LOWER(LEFT($A290,FIND("|",$A290)-1)),2)),IFERROR(VALUE(LEFT(LOWER(LEFT($A290,FIND("|",$A290)-1)),1)),-1)))&gt;=0,TEXT(IFERROR(VALUE(LEFT(LOWER(LEFT($A290,FIND("|",$A290)-1)),3)),IFERROR(VALUE(LEFT(LOWER(LEFT($A290,FIND("|",$A290)-1)),2)),IFERROR(VALUE(LEFT(LOWER(LEFT($A290,FIND("|",$A290)-1)),1)),-1))),"000000")&amp;MID(LOWER(LEFT($A290,FIND("|",$A290)-1)),LEN(TEXT(IFERROR(VALUE(LEFT(LOWER(LEFT($A290,FIND("|",$A290)-1)),3)),IFERROR(VALUE(LEFT(LOWER(LEFT($A290,FIND("|",$A290)-1)),2)),IFERROR(VALUE(LEFT(LOWER(LEFT($A290,FIND("|",$A290)-1)),1)),-1))),"0"))+1,99),LOWER(LEFT($A290,FIND("|",$A290)-1)))&amp;CHAR(9)&amp;TEXT(IF(SUBSTITUTE(MID($A290,FIND("|",$A290)+1,50),"'","")="",0,IFERROR(VALUE(SUBSTITUTE(MID($A290,FIND("|",$A290)+1,50),"'","")),999999)),"000000")&amp;CHAR(9)&amp;TEXT($B290,"0000"))</f>
        <v/>
      </c>
      <c r="E290" s="4">
        <f>IF($D290="","",SUMPRODUCT(($D$5:$D$364&lt;&gt;"")*($D$5:$D$364&lt;$D290))+1)</f>
        <v/>
      </c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70">
      <c r="A291" s="4">
        <f t="array" ref="A291">IF(N(INDIRECT("'Pull Sheet'!AA53"))&gt;0,INDIRECT("'Pull Sheet'!Y53")&amp;"|"&amp;INDIRECT("'Pull Sheet'!Z53"),"")</f>
        <v/>
      </c>
      <c r="B291" s="4">
        <f>IF(AND($A291&lt;&gt;"",COUNTIF($A$5:$A291,$A291)=1),MAX($B$4:$B290)+1,"")</f>
        <v/>
      </c>
      <c r="C291" s="4">
        <f t="array" ref="C291">IF($A291="","",N(INDIRECT("'Pull Sheet'!AA53")))</f>
        <v/>
      </c>
      <c r="D291" s="4">
        <f>IF($B291="","",IF(IFERROR(VALUE(LEFT(LOWER(LEFT($A291,FIND("|",$A291)-1)),3)),IFERROR(VALUE(LEFT(LOWER(LEFT($A291,FIND("|",$A291)-1)),2)),IFERROR(VALUE(LEFT(LOWER(LEFT($A291,FIND("|",$A291)-1)),1)),-1)))&gt;=0,TEXT(IFERROR(VALUE(LEFT(LOWER(LEFT($A291,FIND("|",$A291)-1)),3)),IFERROR(VALUE(LEFT(LOWER(LEFT($A291,FIND("|",$A291)-1)),2)),IFERROR(VALUE(LEFT(LOWER(LEFT($A291,FIND("|",$A291)-1)),1)),-1))),"000000")&amp;MID(LOWER(LEFT($A291,FIND("|",$A291)-1)),LEN(TEXT(IFERROR(VALUE(LEFT(LOWER(LEFT($A291,FIND("|",$A291)-1)),3)),IFERROR(VALUE(LEFT(LOWER(LEFT($A291,FIND("|",$A291)-1)),2)),IFERROR(VALUE(LEFT(LOWER(LEFT($A291,FIND("|",$A291)-1)),1)),-1))),"0"))+1,99),LOWER(LEFT($A291,FIND("|",$A291)-1)))&amp;CHAR(9)&amp;TEXT(IF(SUBSTITUTE(MID($A291,FIND("|",$A291)+1,50),"'","")="",0,IFERROR(VALUE(SUBSTITUTE(MID($A291,FIND("|",$A291)+1,50),"'","")),999999)),"000000")&amp;CHAR(9)&amp;TEXT($B291,"0000"))</f>
        <v/>
      </c>
      <c r="E291" s="4">
        <f>IF($D291="","",SUMPRODUCT(($D$5:$D$364&lt;&gt;"")*($D$5:$D$364&lt;$D291))+1)</f>
        <v/>
      </c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70">
      <c r="A292" s="4">
        <f t="array" ref="A292">IF(N(INDIRECT("'Pull Sheet'!AA54"))&gt;0,INDIRECT("'Pull Sheet'!Y54")&amp;"|"&amp;INDIRECT("'Pull Sheet'!Z54"),"")</f>
        <v/>
      </c>
      <c r="B292" s="4">
        <f>IF(AND($A292&lt;&gt;"",COUNTIF($A$5:$A292,$A292)=1),MAX($B$4:$B291)+1,"")</f>
        <v/>
      </c>
      <c r="C292" s="4">
        <f t="array" ref="C292">IF($A292="","",N(INDIRECT("'Pull Sheet'!AA54")))</f>
        <v/>
      </c>
      <c r="D292" s="4">
        <f>IF($B292="","",IF(IFERROR(VALUE(LEFT(LOWER(LEFT($A292,FIND("|",$A292)-1)),3)),IFERROR(VALUE(LEFT(LOWER(LEFT($A292,FIND("|",$A292)-1)),2)),IFERROR(VALUE(LEFT(LOWER(LEFT($A292,FIND("|",$A292)-1)),1)),-1)))&gt;=0,TEXT(IFERROR(VALUE(LEFT(LOWER(LEFT($A292,FIND("|",$A292)-1)),3)),IFERROR(VALUE(LEFT(LOWER(LEFT($A292,FIND("|",$A292)-1)),2)),IFERROR(VALUE(LEFT(LOWER(LEFT($A292,FIND("|",$A292)-1)),1)),-1))),"000000")&amp;MID(LOWER(LEFT($A292,FIND("|",$A292)-1)),LEN(TEXT(IFERROR(VALUE(LEFT(LOWER(LEFT($A292,FIND("|",$A292)-1)),3)),IFERROR(VALUE(LEFT(LOWER(LEFT($A292,FIND("|",$A292)-1)),2)),IFERROR(VALUE(LEFT(LOWER(LEFT($A292,FIND("|",$A292)-1)),1)),-1))),"0"))+1,99),LOWER(LEFT($A292,FIND("|",$A292)-1)))&amp;CHAR(9)&amp;TEXT(IF(SUBSTITUTE(MID($A292,FIND("|",$A292)+1,50),"'","")="",0,IFERROR(VALUE(SUBSTITUTE(MID($A292,FIND("|",$A292)+1,50),"'","")),999999)),"000000")&amp;CHAR(9)&amp;TEXT($B292,"0000"))</f>
        <v/>
      </c>
      <c r="E292" s="4">
        <f>IF($D292="","",SUMPRODUCT(($D$5:$D$364&lt;&gt;"")*($D$5:$D$364&lt;$D292))+1)</f>
        <v/>
      </c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70">
      <c r="A293" s="4">
        <f t="array" ref="A293">IF(N(INDIRECT("'Pull Sheet'!AA55"))&gt;0,INDIRECT("'Pull Sheet'!Y55")&amp;"|"&amp;INDIRECT("'Pull Sheet'!Z55"),"")</f>
        <v/>
      </c>
      <c r="B293" s="4">
        <f>IF(AND($A293&lt;&gt;"",COUNTIF($A$5:$A293,$A293)=1),MAX($B$4:$B292)+1,"")</f>
        <v/>
      </c>
      <c r="C293" s="4">
        <f t="array" ref="C293">IF($A293="","",N(INDIRECT("'Pull Sheet'!AA55")))</f>
        <v/>
      </c>
      <c r="D293" s="4">
        <f>IF($B293="","",IF(IFERROR(VALUE(LEFT(LOWER(LEFT($A293,FIND("|",$A293)-1)),3)),IFERROR(VALUE(LEFT(LOWER(LEFT($A293,FIND("|",$A293)-1)),2)),IFERROR(VALUE(LEFT(LOWER(LEFT($A293,FIND("|",$A293)-1)),1)),-1)))&gt;=0,TEXT(IFERROR(VALUE(LEFT(LOWER(LEFT($A293,FIND("|",$A293)-1)),3)),IFERROR(VALUE(LEFT(LOWER(LEFT($A293,FIND("|",$A293)-1)),2)),IFERROR(VALUE(LEFT(LOWER(LEFT($A293,FIND("|",$A293)-1)),1)),-1))),"000000")&amp;MID(LOWER(LEFT($A293,FIND("|",$A293)-1)),LEN(TEXT(IFERROR(VALUE(LEFT(LOWER(LEFT($A293,FIND("|",$A293)-1)),3)),IFERROR(VALUE(LEFT(LOWER(LEFT($A293,FIND("|",$A293)-1)),2)),IFERROR(VALUE(LEFT(LOWER(LEFT($A293,FIND("|",$A293)-1)),1)),-1))),"0"))+1,99),LOWER(LEFT($A293,FIND("|",$A293)-1)))&amp;CHAR(9)&amp;TEXT(IF(SUBSTITUTE(MID($A293,FIND("|",$A293)+1,50),"'","")="",0,IFERROR(VALUE(SUBSTITUTE(MID($A293,FIND("|",$A293)+1,50),"'","")),999999)),"000000")&amp;CHAR(9)&amp;TEXT($B293,"0000"))</f>
        <v/>
      </c>
      <c r="E293" s="4">
        <f>IF($D293="","",SUMPRODUCT(($D$5:$D$364&lt;&gt;"")*($D$5:$D$364&lt;$D293))+1)</f>
        <v/>
      </c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70">
      <c r="A294" s="4">
        <f t="array" ref="A294">IF(N(INDIRECT("'Pull Sheet'!AA56"))&gt;0,INDIRECT("'Pull Sheet'!Y56")&amp;"|"&amp;INDIRECT("'Pull Sheet'!Z56"),"")</f>
        <v/>
      </c>
      <c r="B294" s="4">
        <f>IF(AND($A294&lt;&gt;"",COUNTIF($A$5:$A294,$A294)=1),MAX($B$4:$B293)+1,"")</f>
        <v/>
      </c>
      <c r="C294" s="4">
        <f t="array" ref="C294">IF($A294="","",N(INDIRECT("'Pull Sheet'!AA56")))</f>
        <v/>
      </c>
      <c r="D294" s="4">
        <f>IF($B294="","",IF(IFERROR(VALUE(LEFT(LOWER(LEFT($A294,FIND("|",$A294)-1)),3)),IFERROR(VALUE(LEFT(LOWER(LEFT($A294,FIND("|",$A294)-1)),2)),IFERROR(VALUE(LEFT(LOWER(LEFT($A294,FIND("|",$A294)-1)),1)),-1)))&gt;=0,TEXT(IFERROR(VALUE(LEFT(LOWER(LEFT($A294,FIND("|",$A294)-1)),3)),IFERROR(VALUE(LEFT(LOWER(LEFT($A294,FIND("|",$A294)-1)),2)),IFERROR(VALUE(LEFT(LOWER(LEFT($A294,FIND("|",$A294)-1)),1)),-1))),"000000")&amp;MID(LOWER(LEFT($A294,FIND("|",$A294)-1)),LEN(TEXT(IFERROR(VALUE(LEFT(LOWER(LEFT($A294,FIND("|",$A294)-1)),3)),IFERROR(VALUE(LEFT(LOWER(LEFT($A294,FIND("|",$A294)-1)),2)),IFERROR(VALUE(LEFT(LOWER(LEFT($A294,FIND("|",$A294)-1)),1)),-1))),"0"))+1,99),LOWER(LEFT($A294,FIND("|",$A294)-1)))&amp;CHAR(9)&amp;TEXT(IF(SUBSTITUTE(MID($A294,FIND("|",$A294)+1,50),"'","")="",0,IFERROR(VALUE(SUBSTITUTE(MID($A294,FIND("|",$A294)+1,50),"'","")),999999)),"000000")&amp;CHAR(9)&amp;TEXT($B294,"0000"))</f>
        <v/>
      </c>
      <c r="E294" s="4">
        <f>IF($D294="","",SUMPRODUCT(($D$5:$D$364&lt;&gt;"")*($D$5:$D$364&lt;$D294))+1)</f>
        <v/>
      </c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70">
      <c r="A295" s="4">
        <f t="array" ref="A295">IF(N(INDIRECT("'Pull Sheet'!AA57"))&gt;0,INDIRECT("'Pull Sheet'!Y57")&amp;"|"&amp;INDIRECT("'Pull Sheet'!Z57"),"")</f>
        <v/>
      </c>
      <c r="B295" s="4">
        <f>IF(AND($A295&lt;&gt;"",COUNTIF($A$5:$A295,$A295)=1),MAX($B$4:$B294)+1,"")</f>
        <v/>
      </c>
      <c r="C295" s="4">
        <f t="array" ref="C295">IF($A295="","",N(INDIRECT("'Pull Sheet'!AA57")))</f>
        <v/>
      </c>
      <c r="D295" s="4">
        <f>IF($B295="","",IF(IFERROR(VALUE(LEFT(LOWER(LEFT($A295,FIND("|",$A295)-1)),3)),IFERROR(VALUE(LEFT(LOWER(LEFT($A295,FIND("|",$A295)-1)),2)),IFERROR(VALUE(LEFT(LOWER(LEFT($A295,FIND("|",$A295)-1)),1)),-1)))&gt;=0,TEXT(IFERROR(VALUE(LEFT(LOWER(LEFT($A295,FIND("|",$A295)-1)),3)),IFERROR(VALUE(LEFT(LOWER(LEFT($A295,FIND("|",$A295)-1)),2)),IFERROR(VALUE(LEFT(LOWER(LEFT($A295,FIND("|",$A295)-1)),1)),-1))),"000000")&amp;MID(LOWER(LEFT($A295,FIND("|",$A295)-1)),LEN(TEXT(IFERROR(VALUE(LEFT(LOWER(LEFT($A295,FIND("|",$A295)-1)),3)),IFERROR(VALUE(LEFT(LOWER(LEFT($A295,FIND("|",$A295)-1)),2)),IFERROR(VALUE(LEFT(LOWER(LEFT($A295,FIND("|",$A295)-1)),1)),-1))),"0"))+1,99),LOWER(LEFT($A295,FIND("|",$A295)-1)))&amp;CHAR(9)&amp;TEXT(IF(SUBSTITUTE(MID($A295,FIND("|",$A295)+1,50),"'","")="",0,IFERROR(VALUE(SUBSTITUTE(MID($A295,FIND("|",$A295)+1,50),"'","")),999999)),"000000")&amp;CHAR(9)&amp;TEXT($B295,"0000"))</f>
        <v/>
      </c>
      <c r="E295" s="4">
        <f>IF($D295="","",SUMPRODUCT(($D$5:$D$364&lt;&gt;"")*($D$5:$D$364&lt;$D295))+1)</f>
        <v/>
      </c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70">
      <c r="A296" s="4">
        <f t="array" ref="A296">IF(N(INDIRECT("'Pull Sheet'!AA58"))&gt;0,INDIRECT("'Pull Sheet'!Y58")&amp;"|"&amp;INDIRECT("'Pull Sheet'!Z58"),"")</f>
        <v/>
      </c>
      <c r="B296" s="4">
        <f>IF(AND($A296&lt;&gt;"",COUNTIF($A$5:$A296,$A296)=1),MAX($B$4:$B295)+1,"")</f>
        <v/>
      </c>
      <c r="C296" s="4">
        <f t="array" ref="C296">IF($A296="","",N(INDIRECT("'Pull Sheet'!AA58")))</f>
        <v/>
      </c>
      <c r="D296" s="4">
        <f>IF($B296="","",IF(IFERROR(VALUE(LEFT(LOWER(LEFT($A296,FIND("|",$A296)-1)),3)),IFERROR(VALUE(LEFT(LOWER(LEFT($A296,FIND("|",$A296)-1)),2)),IFERROR(VALUE(LEFT(LOWER(LEFT($A296,FIND("|",$A296)-1)),1)),-1)))&gt;=0,TEXT(IFERROR(VALUE(LEFT(LOWER(LEFT($A296,FIND("|",$A296)-1)),3)),IFERROR(VALUE(LEFT(LOWER(LEFT($A296,FIND("|",$A296)-1)),2)),IFERROR(VALUE(LEFT(LOWER(LEFT($A296,FIND("|",$A296)-1)),1)),-1))),"000000")&amp;MID(LOWER(LEFT($A296,FIND("|",$A296)-1)),LEN(TEXT(IFERROR(VALUE(LEFT(LOWER(LEFT($A296,FIND("|",$A296)-1)),3)),IFERROR(VALUE(LEFT(LOWER(LEFT($A296,FIND("|",$A296)-1)),2)),IFERROR(VALUE(LEFT(LOWER(LEFT($A296,FIND("|",$A296)-1)),1)),-1))),"0"))+1,99),LOWER(LEFT($A296,FIND("|",$A296)-1)))&amp;CHAR(9)&amp;TEXT(IF(SUBSTITUTE(MID($A296,FIND("|",$A296)+1,50),"'","")="",0,IFERROR(VALUE(SUBSTITUTE(MID($A296,FIND("|",$A296)+1,50),"'","")),999999)),"000000")&amp;CHAR(9)&amp;TEXT($B296,"0000"))</f>
        <v/>
      </c>
      <c r="E296" s="4">
        <f>IF($D296="","",SUMPRODUCT(($D$5:$D$364&lt;&gt;"")*($D$5:$D$364&lt;$D296))+1)</f>
        <v/>
      </c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70">
      <c r="A297" s="4">
        <f t="array" ref="A297">IF(N(INDIRECT("'Pull Sheet'!AA59"))&gt;0,INDIRECT("'Pull Sheet'!Y59")&amp;"|"&amp;INDIRECT("'Pull Sheet'!Z59"),"")</f>
        <v/>
      </c>
      <c r="B297" s="4">
        <f>IF(AND($A297&lt;&gt;"",COUNTIF($A$5:$A297,$A297)=1),MAX($B$4:$B296)+1,"")</f>
        <v/>
      </c>
      <c r="C297" s="4">
        <f t="array" ref="C297">IF($A297="","",N(INDIRECT("'Pull Sheet'!AA59")))</f>
        <v/>
      </c>
      <c r="D297" s="4">
        <f>IF($B297="","",IF(IFERROR(VALUE(LEFT(LOWER(LEFT($A297,FIND("|",$A297)-1)),3)),IFERROR(VALUE(LEFT(LOWER(LEFT($A297,FIND("|",$A297)-1)),2)),IFERROR(VALUE(LEFT(LOWER(LEFT($A297,FIND("|",$A297)-1)),1)),-1)))&gt;=0,TEXT(IFERROR(VALUE(LEFT(LOWER(LEFT($A297,FIND("|",$A297)-1)),3)),IFERROR(VALUE(LEFT(LOWER(LEFT($A297,FIND("|",$A297)-1)),2)),IFERROR(VALUE(LEFT(LOWER(LEFT($A297,FIND("|",$A297)-1)),1)),-1))),"000000")&amp;MID(LOWER(LEFT($A297,FIND("|",$A297)-1)),LEN(TEXT(IFERROR(VALUE(LEFT(LOWER(LEFT($A297,FIND("|",$A297)-1)),3)),IFERROR(VALUE(LEFT(LOWER(LEFT($A297,FIND("|",$A297)-1)),2)),IFERROR(VALUE(LEFT(LOWER(LEFT($A297,FIND("|",$A297)-1)),1)),-1))),"0"))+1,99),LOWER(LEFT($A297,FIND("|",$A297)-1)))&amp;CHAR(9)&amp;TEXT(IF(SUBSTITUTE(MID($A297,FIND("|",$A297)+1,50),"'","")="",0,IFERROR(VALUE(SUBSTITUTE(MID($A297,FIND("|",$A297)+1,50),"'","")),999999)),"000000")&amp;CHAR(9)&amp;TEXT($B297,"0000"))</f>
        <v/>
      </c>
      <c r="E297" s="4">
        <f>IF($D297="","",SUMPRODUCT(($D$5:$D$364&lt;&gt;"")*($D$5:$D$364&lt;$D297))+1)</f>
        <v/>
      </c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70">
      <c r="A298" s="4">
        <f t="array" ref="A298">IF(N(INDIRECT("'Pull Sheet'!AA60"))&gt;0,INDIRECT("'Pull Sheet'!Y60")&amp;"|"&amp;INDIRECT("'Pull Sheet'!Z60"),"")</f>
        <v/>
      </c>
      <c r="B298" s="4">
        <f>IF(AND($A298&lt;&gt;"",COUNTIF($A$5:$A298,$A298)=1),MAX($B$4:$B297)+1,"")</f>
        <v/>
      </c>
      <c r="C298" s="4">
        <f t="array" ref="C298">IF($A298="","",N(INDIRECT("'Pull Sheet'!AA60")))</f>
        <v/>
      </c>
      <c r="D298" s="4">
        <f>IF($B298="","",IF(IFERROR(VALUE(LEFT(LOWER(LEFT($A298,FIND("|",$A298)-1)),3)),IFERROR(VALUE(LEFT(LOWER(LEFT($A298,FIND("|",$A298)-1)),2)),IFERROR(VALUE(LEFT(LOWER(LEFT($A298,FIND("|",$A298)-1)),1)),-1)))&gt;=0,TEXT(IFERROR(VALUE(LEFT(LOWER(LEFT($A298,FIND("|",$A298)-1)),3)),IFERROR(VALUE(LEFT(LOWER(LEFT($A298,FIND("|",$A298)-1)),2)),IFERROR(VALUE(LEFT(LOWER(LEFT($A298,FIND("|",$A298)-1)),1)),-1))),"000000")&amp;MID(LOWER(LEFT($A298,FIND("|",$A298)-1)),LEN(TEXT(IFERROR(VALUE(LEFT(LOWER(LEFT($A298,FIND("|",$A298)-1)),3)),IFERROR(VALUE(LEFT(LOWER(LEFT($A298,FIND("|",$A298)-1)),2)),IFERROR(VALUE(LEFT(LOWER(LEFT($A298,FIND("|",$A298)-1)),1)),-1))),"0"))+1,99),LOWER(LEFT($A298,FIND("|",$A298)-1)))&amp;CHAR(9)&amp;TEXT(IF(SUBSTITUTE(MID($A298,FIND("|",$A298)+1,50),"'","")="",0,IFERROR(VALUE(SUBSTITUTE(MID($A298,FIND("|",$A298)+1,50),"'","")),999999)),"000000")&amp;CHAR(9)&amp;TEXT($B298,"0000"))</f>
        <v/>
      </c>
      <c r="E298" s="4">
        <f>IF($D298="","",SUMPRODUCT(($D$5:$D$364&lt;&gt;"")*($D$5:$D$364&lt;$D298))+1)</f>
        <v/>
      </c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70">
      <c r="A299" s="4">
        <f t="array" ref="A299">IF(N(INDIRECT("'Pull Sheet'!AA61"))&gt;0,INDIRECT("'Pull Sheet'!Y61")&amp;"|"&amp;INDIRECT("'Pull Sheet'!Z61"),"")</f>
        <v/>
      </c>
      <c r="B299" s="4">
        <f>IF(AND($A299&lt;&gt;"",COUNTIF($A$5:$A299,$A299)=1),MAX($B$4:$B298)+1,"")</f>
        <v/>
      </c>
      <c r="C299" s="4">
        <f t="array" ref="C299">IF($A299="","",N(INDIRECT("'Pull Sheet'!AA61")))</f>
        <v/>
      </c>
      <c r="D299" s="4">
        <f>IF($B299="","",IF(IFERROR(VALUE(LEFT(LOWER(LEFT($A299,FIND("|",$A299)-1)),3)),IFERROR(VALUE(LEFT(LOWER(LEFT($A299,FIND("|",$A299)-1)),2)),IFERROR(VALUE(LEFT(LOWER(LEFT($A299,FIND("|",$A299)-1)),1)),-1)))&gt;=0,TEXT(IFERROR(VALUE(LEFT(LOWER(LEFT($A299,FIND("|",$A299)-1)),3)),IFERROR(VALUE(LEFT(LOWER(LEFT($A299,FIND("|",$A299)-1)),2)),IFERROR(VALUE(LEFT(LOWER(LEFT($A299,FIND("|",$A299)-1)),1)),-1))),"000000")&amp;MID(LOWER(LEFT($A299,FIND("|",$A299)-1)),LEN(TEXT(IFERROR(VALUE(LEFT(LOWER(LEFT($A299,FIND("|",$A299)-1)),3)),IFERROR(VALUE(LEFT(LOWER(LEFT($A299,FIND("|",$A299)-1)),2)),IFERROR(VALUE(LEFT(LOWER(LEFT($A299,FIND("|",$A299)-1)),1)),-1))),"0"))+1,99),LOWER(LEFT($A299,FIND("|",$A299)-1)))&amp;CHAR(9)&amp;TEXT(IF(SUBSTITUTE(MID($A299,FIND("|",$A299)+1,50),"'","")="",0,IFERROR(VALUE(SUBSTITUTE(MID($A299,FIND("|",$A299)+1,50),"'","")),999999)),"000000")&amp;CHAR(9)&amp;TEXT($B299,"0000"))</f>
        <v/>
      </c>
      <c r="E299" s="4">
        <f>IF($D299="","",SUMPRODUCT(($D$5:$D$364&lt;&gt;"")*($D$5:$D$364&lt;$D299))+1)</f>
        <v/>
      </c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70">
      <c r="A300" s="4">
        <f t="array" ref="A300">IF(N(INDIRECT("'Pull Sheet'!AA62"))&gt;0,INDIRECT("'Pull Sheet'!Y62")&amp;"|"&amp;INDIRECT("'Pull Sheet'!Z62"),"")</f>
        <v/>
      </c>
      <c r="B300" s="4">
        <f>IF(AND($A300&lt;&gt;"",COUNTIF($A$5:$A300,$A300)=1),MAX($B$4:$B299)+1,"")</f>
        <v/>
      </c>
      <c r="C300" s="4">
        <f t="array" ref="C300">IF($A300="","",N(INDIRECT("'Pull Sheet'!AA62")))</f>
        <v/>
      </c>
      <c r="D300" s="4">
        <f>IF($B300="","",IF(IFERROR(VALUE(LEFT(LOWER(LEFT($A300,FIND("|",$A300)-1)),3)),IFERROR(VALUE(LEFT(LOWER(LEFT($A300,FIND("|",$A300)-1)),2)),IFERROR(VALUE(LEFT(LOWER(LEFT($A300,FIND("|",$A300)-1)),1)),-1)))&gt;=0,TEXT(IFERROR(VALUE(LEFT(LOWER(LEFT($A300,FIND("|",$A300)-1)),3)),IFERROR(VALUE(LEFT(LOWER(LEFT($A300,FIND("|",$A300)-1)),2)),IFERROR(VALUE(LEFT(LOWER(LEFT($A300,FIND("|",$A300)-1)),1)),-1))),"000000")&amp;MID(LOWER(LEFT($A300,FIND("|",$A300)-1)),LEN(TEXT(IFERROR(VALUE(LEFT(LOWER(LEFT($A300,FIND("|",$A300)-1)),3)),IFERROR(VALUE(LEFT(LOWER(LEFT($A300,FIND("|",$A300)-1)),2)),IFERROR(VALUE(LEFT(LOWER(LEFT($A300,FIND("|",$A300)-1)),1)),-1))),"0"))+1,99),LOWER(LEFT($A300,FIND("|",$A300)-1)))&amp;CHAR(9)&amp;TEXT(IF(SUBSTITUTE(MID($A300,FIND("|",$A300)+1,50),"'","")="",0,IFERROR(VALUE(SUBSTITUTE(MID($A300,FIND("|",$A300)+1,50),"'","")),999999)),"000000")&amp;CHAR(9)&amp;TEXT($B300,"0000"))</f>
        <v/>
      </c>
      <c r="E300" s="4">
        <f>IF($D300="","",SUMPRODUCT(($D$5:$D$364&lt;&gt;"")*($D$5:$D$364&lt;$D300))+1)</f>
        <v/>
      </c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70">
      <c r="A301" s="4">
        <f t="array" ref="A301">IF(N(INDIRECT("'Pull Sheet'!AA63"))&gt;0,INDIRECT("'Pull Sheet'!Y63")&amp;"|"&amp;INDIRECT("'Pull Sheet'!Z63"),"")</f>
        <v/>
      </c>
      <c r="B301" s="4">
        <f>IF(AND($A301&lt;&gt;"",COUNTIF($A$5:$A301,$A301)=1),MAX($B$4:$B300)+1,"")</f>
        <v/>
      </c>
      <c r="C301" s="4">
        <f t="array" ref="C301">IF($A301="","",N(INDIRECT("'Pull Sheet'!AA63")))</f>
        <v/>
      </c>
      <c r="D301" s="4">
        <f>IF($B301="","",IF(IFERROR(VALUE(LEFT(LOWER(LEFT($A301,FIND("|",$A301)-1)),3)),IFERROR(VALUE(LEFT(LOWER(LEFT($A301,FIND("|",$A301)-1)),2)),IFERROR(VALUE(LEFT(LOWER(LEFT($A301,FIND("|",$A301)-1)),1)),-1)))&gt;=0,TEXT(IFERROR(VALUE(LEFT(LOWER(LEFT($A301,FIND("|",$A301)-1)),3)),IFERROR(VALUE(LEFT(LOWER(LEFT($A301,FIND("|",$A301)-1)),2)),IFERROR(VALUE(LEFT(LOWER(LEFT($A301,FIND("|",$A301)-1)),1)),-1))),"000000")&amp;MID(LOWER(LEFT($A301,FIND("|",$A301)-1)),LEN(TEXT(IFERROR(VALUE(LEFT(LOWER(LEFT($A301,FIND("|",$A301)-1)),3)),IFERROR(VALUE(LEFT(LOWER(LEFT($A301,FIND("|",$A301)-1)),2)),IFERROR(VALUE(LEFT(LOWER(LEFT($A301,FIND("|",$A301)-1)),1)),-1))),"0"))+1,99),LOWER(LEFT($A301,FIND("|",$A301)-1)))&amp;CHAR(9)&amp;TEXT(IF(SUBSTITUTE(MID($A301,FIND("|",$A301)+1,50),"'","")="",0,IFERROR(VALUE(SUBSTITUTE(MID($A301,FIND("|",$A301)+1,50),"'","")),999999)),"000000")&amp;CHAR(9)&amp;TEXT($B301,"0000"))</f>
        <v/>
      </c>
      <c r="E301" s="4">
        <f>IF($D301="","",SUMPRODUCT(($D$5:$D$364&lt;&gt;"")*($D$5:$D$364&lt;$D301))+1)</f>
        <v/>
      </c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70">
      <c r="A302" s="4">
        <f t="array" ref="A302">IF(N(INDIRECT("'Pull Sheet'!AA64"))&gt;0,INDIRECT("'Pull Sheet'!Y64")&amp;"|"&amp;INDIRECT("'Pull Sheet'!Z64"),"")</f>
        <v/>
      </c>
      <c r="B302" s="4">
        <f>IF(AND($A302&lt;&gt;"",COUNTIF($A$5:$A302,$A302)=1),MAX($B$4:$B301)+1,"")</f>
        <v/>
      </c>
      <c r="C302" s="4">
        <f t="array" ref="C302">IF($A302="","",N(INDIRECT("'Pull Sheet'!AA64")))</f>
        <v/>
      </c>
      <c r="D302" s="4">
        <f>IF($B302="","",IF(IFERROR(VALUE(LEFT(LOWER(LEFT($A302,FIND("|",$A302)-1)),3)),IFERROR(VALUE(LEFT(LOWER(LEFT($A302,FIND("|",$A302)-1)),2)),IFERROR(VALUE(LEFT(LOWER(LEFT($A302,FIND("|",$A302)-1)),1)),-1)))&gt;=0,TEXT(IFERROR(VALUE(LEFT(LOWER(LEFT($A302,FIND("|",$A302)-1)),3)),IFERROR(VALUE(LEFT(LOWER(LEFT($A302,FIND("|",$A302)-1)),2)),IFERROR(VALUE(LEFT(LOWER(LEFT($A302,FIND("|",$A302)-1)),1)),-1))),"000000")&amp;MID(LOWER(LEFT($A302,FIND("|",$A302)-1)),LEN(TEXT(IFERROR(VALUE(LEFT(LOWER(LEFT($A302,FIND("|",$A302)-1)),3)),IFERROR(VALUE(LEFT(LOWER(LEFT($A302,FIND("|",$A302)-1)),2)),IFERROR(VALUE(LEFT(LOWER(LEFT($A302,FIND("|",$A302)-1)),1)),-1))),"0"))+1,99),LOWER(LEFT($A302,FIND("|",$A302)-1)))&amp;CHAR(9)&amp;TEXT(IF(SUBSTITUTE(MID($A302,FIND("|",$A302)+1,50),"'","")="",0,IFERROR(VALUE(SUBSTITUTE(MID($A302,FIND("|",$A302)+1,50),"'","")),999999)),"000000")&amp;CHAR(9)&amp;TEXT($B302,"0000"))</f>
        <v/>
      </c>
      <c r="E302" s="4">
        <f>IF($D302="","",SUMPRODUCT(($D$5:$D$364&lt;&gt;"")*($D$5:$D$364&lt;$D302))+1)</f>
        <v/>
      </c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70">
      <c r="A303" s="4">
        <f t="array" ref="A303">IF(N(INDIRECT("'Pull Sheet'!AA65"))&gt;0,INDIRECT("'Pull Sheet'!Y65")&amp;"|"&amp;INDIRECT("'Pull Sheet'!Z65"),"")</f>
        <v/>
      </c>
      <c r="B303" s="4">
        <f>IF(AND($A303&lt;&gt;"",COUNTIF($A$5:$A303,$A303)=1),MAX($B$4:$B302)+1,"")</f>
        <v/>
      </c>
      <c r="C303" s="4">
        <f t="array" ref="C303">IF($A303="","",N(INDIRECT("'Pull Sheet'!AA65")))</f>
        <v/>
      </c>
      <c r="D303" s="4">
        <f>IF($B303="","",IF(IFERROR(VALUE(LEFT(LOWER(LEFT($A303,FIND("|",$A303)-1)),3)),IFERROR(VALUE(LEFT(LOWER(LEFT($A303,FIND("|",$A303)-1)),2)),IFERROR(VALUE(LEFT(LOWER(LEFT($A303,FIND("|",$A303)-1)),1)),-1)))&gt;=0,TEXT(IFERROR(VALUE(LEFT(LOWER(LEFT($A303,FIND("|",$A303)-1)),3)),IFERROR(VALUE(LEFT(LOWER(LEFT($A303,FIND("|",$A303)-1)),2)),IFERROR(VALUE(LEFT(LOWER(LEFT($A303,FIND("|",$A303)-1)),1)),-1))),"000000")&amp;MID(LOWER(LEFT($A303,FIND("|",$A303)-1)),LEN(TEXT(IFERROR(VALUE(LEFT(LOWER(LEFT($A303,FIND("|",$A303)-1)),3)),IFERROR(VALUE(LEFT(LOWER(LEFT($A303,FIND("|",$A303)-1)),2)),IFERROR(VALUE(LEFT(LOWER(LEFT($A303,FIND("|",$A303)-1)),1)),-1))),"0"))+1,99),LOWER(LEFT($A303,FIND("|",$A303)-1)))&amp;CHAR(9)&amp;TEXT(IF(SUBSTITUTE(MID($A303,FIND("|",$A303)+1,50),"'","")="",0,IFERROR(VALUE(SUBSTITUTE(MID($A303,FIND("|",$A303)+1,50),"'","")),999999)),"000000")&amp;CHAR(9)&amp;TEXT($B303,"0000"))</f>
        <v/>
      </c>
      <c r="E303" s="4">
        <f>IF($D303="","",SUMPRODUCT(($D$5:$D$364&lt;&gt;"")*($D$5:$D$364&lt;$D303))+1)</f>
        <v/>
      </c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70">
      <c r="A304" s="4">
        <f t="array" ref="A304">IF(N(INDIRECT("'Pull Sheet'!AA66"))&gt;0,INDIRECT("'Pull Sheet'!Y66")&amp;"|"&amp;INDIRECT("'Pull Sheet'!Z66"),"")</f>
        <v/>
      </c>
      <c r="B304" s="4">
        <f>IF(AND($A304&lt;&gt;"",COUNTIF($A$5:$A304,$A304)=1),MAX($B$4:$B303)+1,"")</f>
        <v/>
      </c>
      <c r="C304" s="4">
        <f t="array" ref="C304">IF($A304="","",N(INDIRECT("'Pull Sheet'!AA66")))</f>
        <v/>
      </c>
      <c r="D304" s="4">
        <f>IF($B304="","",IF(IFERROR(VALUE(LEFT(LOWER(LEFT($A304,FIND("|",$A304)-1)),3)),IFERROR(VALUE(LEFT(LOWER(LEFT($A304,FIND("|",$A304)-1)),2)),IFERROR(VALUE(LEFT(LOWER(LEFT($A304,FIND("|",$A304)-1)),1)),-1)))&gt;=0,TEXT(IFERROR(VALUE(LEFT(LOWER(LEFT($A304,FIND("|",$A304)-1)),3)),IFERROR(VALUE(LEFT(LOWER(LEFT($A304,FIND("|",$A304)-1)),2)),IFERROR(VALUE(LEFT(LOWER(LEFT($A304,FIND("|",$A304)-1)),1)),-1))),"000000")&amp;MID(LOWER(LEFT($A304,FIND("|",$A304)-1)),LEN(TEXT(IFERROR(VALUE(LEFT(LOWER(LEFT($A304,FIND("|",$A304)-1)),3)),IFERROR(VALUE(LEFT(LOWER(LEFT($A304,FIND("|",$A304)-1)),2)),IFERROR(VALUE(LEFT(LOWER(LEFT($A304,FIND("|",$A304)-1)),1)),-1))),"0"))+1,99),LOWER(LEFT($A304,FIND("|",$A304)-1)))&amp;CHAR(9)&amp;TEXT(IF(SUBSTITUTE(MID($A304,FIND("|",$A304)+1,50),"'","")="",0,IFERROR(VALUE(SUBSTITUTE(MID($A304,FIND("|",$A304)+1,50),"'","")),999999)),"000000")&amp;CHAR(9)&amp;TEXT($B304,"0000"))</f>
        <v/>
      </c>
      <c r="E304" s="4">
        <f>IF($D304="","",SUMPRODUCT(($D$5:$D$364&lt;&gt;"")*($D$5:$D$364&lt;$D304))+1)</f>
        <v/>
      </c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70">
      <c r="A305" s="4">
        <f t="array" ref="A305">IF(N(INDIRECT("'Pull Sheet'!AG7"))&gt;0,INDIRECT("'Pull Sheet'!AE7")&amp;"|"&amp;INDIRECT("'Pull Sheet'!AF7"),"")</f>
        <v/>
      </c>
      <c r="B305" s="4">
        <f>IF(AND($A305&lt;&gt;"",COUNTIF($A$5:$A305,$A305)=1),MAX($B$4:$B304)+1,"")</f>
        <v/>
      </c>
      <c r="C305" s="4">
        <f t="array" ref="C305">IF($A305="","",N(INDIRECT("'Pull Sheet'!AG7")))</f>
        <v/>
      </c>
      <c r="D305" s="4">
        <f>IF($B305="","",IF(IFERROR(VALUE(LEFT(LOWER(LEFT($A305,FIND("|",$A305)-1)),3)),IFERROR(VALUE(LEFT(LOWER(LEFT($A305,FIND("|",$A305)-1)),2)),IFERROR(VALUE(LEFT(LOWER(LEFT($A305,FIND("|",$A305)-1)),1)),-1)))&gt;=0,TEXT(IFERROR(VALUE(LEFT(LOWER(LEFT($A305,FIND("|",$A305)-1)),3)),IFERROR(VALUE(LEFT(LOWER(LEFT($A305,FIND("|",$A305)-1)),2)),IFERROR(VALUE(LEFT(LOWER(LEFT($A305,FIND("|",$A305)-1)),1)),-1))),"000000")&amp;MID(LOWER(LEFT($A305,FIND("|",$A305)-1)),LEN(TEXT(IFERROR(VALUE(LEFT(LOWER(LEFT($A305,FIND("|",$A305)-1)),3)),IFERROR(VALUE(LEFT(LOWER(LEFT($A305,FIND("|",$A305)-1)),2)),IFERROR(VALUE(LEFT(LOWER(LEFT($A305,FIND("|",$A305)-1)),1)),-1))),"0"))+1,99),LOWER(LEFT($A305,FIND("|",$A305)-1)))&amp;CHAR(9)&amp;TEXT(IF(SUBSTITUTE(MID($A305,FIND("|",$A305)+1,50),"'","")="",0,IFERROR(VALUE(SUBSTITUTE(MID($A305,FIND("|",$A305)+1,50),"'","")),999999)),"000000")&amp;CHAR(9)&amp;TEXT($B305,"0000"))</f>
        <v/>
      </c>
      <c r="E305" s="4">
        <f>IF($D305="","",SUMPRODUCT(($D$5:$D$364&lt;&gt;"")*($D$5:$D$364&lt;$D305))+1)</f>
        <v/>
      </c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70">
      <c r="A306" s="4">
        <f t="array" ref="A306">IF(N(INDIRECT("'Pull Sheet'!AG8"))&gt;0,INDIRECT("'Pull Sheet'!AE8")&amp;"|"&amp;INDIRECT("'Pull Sheet'!AF8"),"")</f>
        <v/>
      </c>
      <c r="B306" s="4">
        <f>IF(AND($A306&lt;&gt;"",COUNTIF($A$5:$A306,$A306)=1),MAX($B$4:$B305)+1,"")</f>
        <v/>
      </c>
      <c r="C306" s="4">
        <f t="array" ref="C306">IF($A306="","",N(INDIRECT("'Pull Sheet'!AG8")))</f>
        <v/>
      </c>
      <c r="D306" s="4">
        <f>IF($B306="","",IF(IFERROR(VALUE(LEFT(LOWER(LEFT($A306,FIND("|",$A306)-1)),3)),IFERROR(VALUE(LEFT(LOWER(LEFT($A306,FIND("|",$A306)-1)),2)),IFERROR(VALUE(LEFT(LOWER(LEFT($A306,FIND("|",$A306)-1)),1)),-1)))&gt;=0,TEXT(IFERROR(VALUE(LEFT(LOWER(LEFT($A306,FIND("|",$A306)-1)),3)),IFERROR(VALUE(LEFT(LOWER(LEFT($A306,FIND("|",$A306)-1)),2)),IFERROR(VALUE(LEFT(LOWER(LEFT($A306,FIND("|",$A306)-1)),1)),-1))),"000000")&amp;MID(LOWER(LEFT($A306,FIND("|",$A306)-1)),LEN(TEXT(IFERROR(VALUE(LEFT(LOWER(LEFT($A306,FIND("|",$A306)-1)),3)),IFERROR(VALUE(LEFT(LOWER(LEFT($A306,FIND("|",$A306)-1)),2)),IFERROR(VALUE(LEFT(LOWER(LEFT($A306,FIND("|",$A306)-1)),1)),-1))),"0"))+1,99),LOWER(LEFT($A306,FIND("|",$A306)-1)))&amp;CHAR(9)&amp;TEXT(IF(SUBSTITUTE(MID($A306,FIND("|",$A306)+1,50),"'","")="",0,IFERROR(VALUE(SUBSTITUTE(MID($A306,FIND("|",$A306)+1,50),"'","")),999999)),"000000")&amp;CHAR(9)&amp;TEXT($B306,"0000"))</f>
        <v/>
      </c>
      <c r="E306" s="4">
        <f>IF($D306="","",SUMPRODUCT(($D$5:$D$364&lt;&gt;"")*($D$5:$D$364&lt;$D306))+1)</f>
        <v/>
      </c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70">
      <c r="A307" s="4">
        <f t="array" ref="A307">IF(N(INDIRECT("'Pull Sheet'!AG9"))&gt;0,INDIRECT("'Pull Sheet'!AE9")&amp;"|"&amp;INDIRECT("'Pull Sheet'!AF9"),"")</f>
        <v/>
      </c>
      <c r="B307" s="4">
        <f>IF(AND($A307&lt;&gt;"",COUNTIF($A$5:$A307,$A307)=1),MAX($B$4:$B306)+1,"")</f>
        <v/>
      </c>
      <c r="C307" s="4">
        <f t="array" ref="C307">IF($A307="","",N(INDIRECT("'Pull Sheet'!AG9")))</f>
        <v/>
      </c>
      <c r="D307" s="4">
        <f>IF($B307="","",IF(IFERROR(VALUE(LEFT(LOWER(LEFT($A307,FIND("|",$A307)-1)),3)),IFERROR(VALUE(LEFT(LOWER(LEFT($A307,FIND("|",$A307)-1)),2)),IFERROR(VALUE(LEFT(LOWER(LEFT($A307,FIND("|",$A307)-1)),1)),-1)))&gt;=0,TEXT(IFERROR(VALUE(LEFT(LOWER(LEFT($A307,FIND("|",$A307)-1)),3)),IFERROR(VALUE(LEFT(LOWER(LEFT($A307,FIND("|",$A307)-1)),2)),IFERROR(VALUE(LEFT(LOWER(LEFT($A307,FIND("|",$A307)-1)),1)),-1))),"000000")&amp;MID(LOWER(LEFT($A307,FIND("|",$A307)-1)),LEN(TEXT(IFERROR(VALUE(LEFT(LOWER(LEFT($A307,FIND("|",$A307)-1)),3)),IFERROR(VALUE(LEFT(LOWER(LEFT($A307,FIND("|",$A307)-1)),2)),IFERROR(VALUE(LEFT(LOWER(LEFT($A307,FIND("|",$A307)-1)),1)),-1))),"0"))+1,99),LOWER(LEFT($A307,FIND("|",$A307)-1)))&amp;CHAR(9)&amp;TEXT(IF(SUBSTITUTE(MID($A307,FIND("|",$A307)+1,50),"'","")="",0,IFERROR(VALUE(SUBSTITUTE(MID($A307,FIND("|",$A307)+1,50),"'","")),999999)),"000000")&amp;CHAR(9)&amp;TEXT($B307,"0000"))</f>
        <v/>
      </c>
      <c r="E307" s="4">
        <f>IF($D307="","",SUMPRODUCT(($D$5:$D$364&lt;&gt;"")*($D$5:$D$364&lt;$D307))+1)</f>
        <v/>
      </c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70">
      <c r="A308" s="4">
        <f t="array" ref="A308">IF(N(INDIRECT("'Pull Sheet'!AG10"))&gt;0,INDIRECT("'Pull Sheet'!AE10")&amp;"|"&amp;INDIRECT("'Pull Sheet'!AF10"),"")</f>
        <v/>
      </c>
      <c r="B308" s="4">
        <f>IF(AND($A308&lt;&gt;"",COUNTIF($A$5:$A308,$A308)=1),MAX($B$4:$B307)+1,"")</f>
        <v/>
      </c>
      <c r="C308" s="4">
        <f t="array" ref="C308">IF($A308="","",N(INDIRECT("'Pull Sheet'!AG10")))</f>
        <v/>
      </c>
      <c r="D308" s="4">
        <f>IF($B308="","",IF(IFERROR(VALUE(LEFT(LOWER(LEFT($A308,FIND("|",$A308)-1)),3)),IFERROR(VALUE(LEFT(LOWER(LEFT($A308,FIND("|",$A308)-1)),2)),IFERROR(VALUE(LEFT(LOWER(LEFT($A308,FIND("|",$A308)-1)),1)),-1)))&gt;=0,TEXT(IFERROR(VALUE(LEFT(LOWER(LEFT($A308,FIND("|",$A308)-1)),3)),IFERROR(VALUE(LEFT(LOWER(LEFT($A308,FIND("|",$A308)-1)),2)),IFERROR(VALUE(LEFT(LOWER(LEFT($A308,FIND("|",$A308)-1)),1)),-1))),"000000")&amp;MID(LOWER(LEFT($A308,FIND("|",$A308)-1)),LEN(TEXT(IFERROR(VALUE(LEFT(LOWER(LEFT($A308,FIND("|",$A308)-1)),3)),IFERROR(VALUE(LEFT(LOWER(LEFT($A308,FIND("|",$A308)-1)),2)),IFERROR(VALUE(LEFT(LOWER(LEFT($A308,FIND("|",$A308)-1)),1)),-1))),"0"))+1,99),LOWER(LEFT($A308,FIND("|",$A308)-1)))&amp;CHAR(9)&amp;TEXT(IF(SUBSTITUTE(MID($A308,FIND("|",$A308)+1,50),"'","")="",0,IFERROR(VALUE(SUBSTITUTE(MID($A308,FIND("|",$A308)+1,50),"'","")),999999)),"000000")&amp;CHAR(9)&amp;TEXT($B308,"0000"))</f>
        <v/>
      </c>
      <c r="E308" s="4">
        <f>IF($D308="","",SUMPRODUCT(($D$5:$D$364&lt;&gt;"")*($D$5:$D$364&lt;$D308))+1)</f>
        <v/>
      </c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70">
      <c r="A309" s="4">
        <f t="array" ref="A309">IF(N(INDIRECT("'Pull Sheet'!AG11"))&gt;0,INDIRECT("'Pull Sheet'!AE11")&amp;"|"&amp;INDIRECT("'Pull Sheet'!AF11"),"")</f>
        <v/>
      </c>
      <c r="B309" s="4">
        <f>IF(AND($A309&lt;&gt;"",COUNTIF($A$5:$A309,$A309)=1),MAX($B$4:$B308)+1,"")</f>
        <v/>
      </c>
      <c r="C309" s="4">
        <f t="array" ref="C309">IF($A309="","",N(INDIRECT("'Pull Sheet'!AG11")))</f>
        <v/>
      </c>
      <c r="D309" s="4">
        <f>IF($B309="","",IF(IFERROR(VALUE(LEFT(LOWER(LEFT($A309,FIND("|",$A309)-1)),3)),IFERROR(VALUE(LEFT(LOWER(LEFT($A309,FIND("|",$A309)-1)),2)),IFERROR(VALUE(LEFT(LOWER(LEFT($A309,FIND("|",$A309)-1)),1)),-1)))&gt;=0,TEXT(IFERROR(VALUE(LEFT(LOWER(LEFT($A309,FIND("|",$A309)-1)),3)),IFERROR(VALUE(LEFT(LOWER(LEFT($A309,FIND("|",$A309)-1)),2)),IFERROR(VALUE(LEFT(LOWER(LEFT($A309,FIND("|",$A309)-1)),1)),-1))),"000000")&amp;MID(LOWER(LEFT($A309,FIND("|",$A309)-1)),LEN(TEXT(IFERROR(VALUE(LEFT(LOWER(LEFT($A309,FIND("|",$A309)-1)),3)),IFERROR(VALUE(LEFT(LOWER(LEFT($A309,FIND("|",$A309)-1)),2)),IFERROR(VALUE(LEFT(LOWER(LEFT($A309,FIND("|",$A309)-1)),1)),-1))),"0"))+1,99),LOWER(LEFT($A309,FIND("|",$A309)-1)))&amp;CHAR(9)&amp;TEXT(IF(SUBSTITUTE(MID($A309,FIND("|",$A309)+1,50),"'","")="",0,IFERROR(VALUE(SUBSTITUTE(MID($A309,FIND("|",$A309)+1,50),"'","")),999999)),"000000")&amp;CHAR(9)&amp;TEXT($B309,"0000"))</f>
        <v/>
      </c>
      <c r="E309" s="4">
        <f>IF($D309="","",SUMPRODUCT(($D$5:$D$364&lt;&gt;"")*($D$5:$D$364&lt;$D309))+1)</f>
        <v/>
      </c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70">
      <c r="A310" s="4">
        <f t="array" ref="A310">IF(N(INDIRECT("'Pull Sheet'!AG12"))&gt;0,INDIRECT("'Pull Sheet'!AE12")&amp;"|"&amp;INDIRECT("'Pull Sheet'!AF12"),"")</f>
        <v/>
      </c>
      <c r="B310" s="4">
        <f>IF(AND($A310&lt;&gt;"",COUNTIF($A$5:$A310,$A310)=1),MAX($B$4:$B309)+1,"")</f>
        <v/>
      </c>
      <c r="C310" s="4">
        <f t="array" ref="C310">IF($A310="","",N(INDIRECT("'Pull Sheet'!AG12")))</f>
        <v/>
      </c>
      <c r="D310" s="4">
        <f>IF($B310="","",IF(IFERROR(VALUE(LEFT(LOWER(LEFT($A310,FIND("|",$A310)-1)),3)),IFERROR(VALUE(LEFT(LOWER(LEFT($A310,FIND("|",$A310)-1)),2)),IFERROR(VALUE(LEFT(LOWER(LEFT($A310,FIND("|",$A310)-1)),1)),-1)))&gt;=0,TEXT(IFERROR(VALUE(LEFT(LOWER(LEFT($A310,FIND("|",$A310)-1)),3)),IFERROR(VALUE(LEFT(LOWER(LEFT($A310,FIND("|",$A310)-1)),2)),IFERROR(VALUE(LEFT(LOWER(LEFT($A310,FIND("|",$A310)-1)),1)),-1))),"000000")&amp;MID(LOWER(LEFT($A310,FIND("|",$A310)-1)),LEN(TEXT(IFERROR(VALUE(LEFT(LOWER(LEFT($A310,FIND("|",$A310)-1)),3)),IFERROR(VALUE(LEFT(LOWER(LEFT($A310,FIND("|",$A310)-1)),2)),IFERROR(VALUE(LEFT(LOWER(LEFT($A310,FIND("|",$A310)-1)),1)),-1))),"0"))+1,99),LOWER(LEFT($A310,FIND("|",$A310)-1)))&amp;CHAR(9)&amp;TEXT(IF(SUBSTITUTE(MID($A310,FIND("|",$A310)+1,50),"'","")="",0,IFERROR(VALUE(SUBSTITUTE(MID($A310,FIND("|",$A310)+1,50),"'","")),999999)),"000000")&amp;CHAR(9)&amp;TEXT($B310,"0000"))</f>
        <v/>
      </c>
      <c r="E310" s="4">
        <f>IF($D310="","",SUMPRODUCT(($D$5:$D$364&lt;&gt;"")*($D$5:$D$364&lt;$D310))+1)</f>
        <v/>
      </c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70">
      <c r="A311" s="4">
        <f t="array" ref="A311">IF(N(INDIRECT("'Pull Sheet'!AG13"))&gt;0,INDIRECT("'Pull Sheet'!AE13")&amp;"|"&amp;INDIRECT("'Pull Sheet'!AF13"),"")</f>
        <v/>
      </c>
      <c r="B311" s="4">
        <f>IF(AND($A311&lt;&gt;"",COUNTIF($A$5:$A311,$A311)=1),MAX($B$4:$B310)+1,"")</f>
        <v/>
      </c>
      <c r="C311" s="4">
        <f t="array" ref="C311">IF($A311="","",N(INDIRECT("'Pull Sheet'!AG13")))</f>
        <v/>
      </c>
      <c r="D311" s="4">
        <f>IF($B311="","",IF(IFERROR(VALUE(LEFT(LOWER(LEFT($A311,FIND("|",$A311)-1)),3)),IFERROR(VALUE(LEFT(LOWER(LEFT($A311,FIND("|",$A311)-1)),2)),IFERROR(VALUE(LEFT(LOWER(LEFT($A311,FIND("|",$A311)-1)),1)),-1)))&gt;=0,TEXT(IFERROR(VALUE(LEFT(LOWER(LEFT($A311,FIND("|",$A311)-1)),3)),IFERROR(VALUE(LEFT(LOWER(LEFT($A311,FIND("|",$A311)-1)),2)),IFERROR(VALUE(LEFT(LOWER(LEFT($A311,FIND("|",$A311)-1)),1)),-1))),"000000")&amp;MID(LOWER(LEFT($A311,FIND("|",$A311)-1)),LEN(TEXT(IFERROR(VALUE(LEFT(LOWER(LEFT($A311,FIND("|",$A311)-1)),3)),IFERROR(VALUE(LEFT(LOWER(LEFT($A311,FIND("|",$A311)-1)),2)),IFERROR(VALUE(LEFT(LOWER(LEFT($A311,FIND("|",$A311)-1)),1)),-1))),"0"))+1,99),LOWER(LEFT($A311,FIND("|",$A311)-1)))&amp;CHAR(9)&amp;TEXT(IF(SUBSTITUTE(MID($A311,FIND("|",$A311)+1,50),"'","")="",0,IFERROR(VALUE(SUBSTITUTE(MID($A311,FIND("|",$A311)+1,50),"'","")),999999)),"000000")&amp;CHAR(9)&amp;TEXT($B311,"0000"))</f>
        <v/>
      </c>
      <c r="E311" s="4">
        <f>IF($D311="","",SUMPRODUCT(($D$5:$D$364&lt;&gt;"")*($D$5:$D$364&lt;$D311))+1)</f>
        <v/>
      </c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70">
      <c r="A312" s="4">
        <f t="array" ref="A312">IF(N(INDIRECT("'Pull Sheet'!AG14"))&gt;0,INDIRECT("'Pull Sheet'!AE14")&amp;"|"&amp;INDIRECT("'Pull Sheet'!AF14"),"")</f>
        <v/>
      </c>
      <c r="B312" s="4">
        <f>IF(AND($A312&lt;&gt;"",COUNTIF($A$5:$A312,$A312)=1),MAX($B$4:$B311)+1,"")</f>
        <v/>
      </c>
      <c r="C312" s="4">
        <f t="array" ref="C312">IF($A312="","",N(INDIRECT("'Pull Sheet'!AG14")))</f>
        <v/>
      </c>
      <c r="D312" s="4">
        <f>IF($B312="","",IF(IFERROR(VALUE(LEFT(LOWER(LEFT($A312,FIND("|",$A312)-1)),3)),IFERROR(VALUE(LEFT(LOWER(LEFT($A312,FIND("|",$A312)-1)),2)),IFERROR(VALUE(LEFT(LOWER(LEFT($A312,FIND("|",$A312)-1)),1)),-1)))&gt;=0,TEXT(IFERROR(VALUE(LEFT(LOWER(LEFT($A312,FIND("|",$A312)-1)),3)),IFERROR(VALUE(LEFT(LOWER(LEFT($A312,FIND("|",$A312)-1)),2)),IFERROR(VALUE(LEFT(LOWER(LEFT($A312,FIND("|",$A312)-1)),1)),-1))),"000000")&amp;MID(LOWER(LEFT($A312,FIND("|",$A312)-1)),LEN(TEXT(IFERROR(VALUE(LEFT(LOWER(LEFT($A312,FIND("|",$A312)-1)),3)),IFERROR(VALUE(LEFT(LOWER(LEFT($A312,FIND("|",$A312)-1)),2)),IFERROR(VALUE(LEFT(LOWER(LEFT($A312,FIND("|",$A312)-1)),1)),-1))),"0"))+1,99),LOWER(LEFT($A312,FIND("|",$A312)-1)))&amp;CHAR(9)&amp;TEXT(IF(SUBSTITUTE(MID($A312,FIND("|",$A312)+1,50),"'","")="",0,IFERROR(VALUE(SUBSTITUTE(MID($A312,FIND("|",$A312)+1,50),"'","")),999999)),"000000")&amp;CHAR(9)&amp;TEXT($B312,"0000"))</f>
        <v/>
      </c>
      <c r="E312" s="4">
        <f>IF($D312="","",SUMPRODUCT(($D$5:$D$364&lt;&gt;"")*($D$5:$D$364&lt;$D312))+1)</f>
        <v/>
      </c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70">
      <c r="A313" s="4">
        <f t="array" ref="A313">IF(N(INDIRECT("'Pull Sheet'!AG15"))&gt;0,INDIRECT("'Pull Sheet'!AE15")&amp;"|"&amp;INDIRECT("'Pull Sheet'!AF15"),"")</f>
        <v/>
      </c>
      <c r="B313" s="4">
        <f>IF(AND($A313&lt;&gt;"",COUNTIF($A$5:$A313,$A313)=1),MAX($B$4:$B312)+1,"")</f>
        <v/>
      </c>
      <c r="C313" s="4">
        <f t="array" ref="C313">IF($A313="","",N(INDIRECT("'Pull Sheet'!AG15")))</f>
        <v/>
      </c>
      <c r="D313" s="4">
        <f>IF($B313="","",IF(IFERROR(VALUE(LEFT(LOWER(LEFT($A313,FIND("|",$A313)-1)),3)),IFERROR(VALUE(LEFT(LOWER(LEFT($A313,FIND("|",$A313)-1)),2)),IFERROR(VALUE(LEFT(LOWER(LEFT($A313,FIND("|",$A313)-1)),1)),-1)))&gt;=0,TEXT(IFERROR(VALUE(LEFT(LOWER(LEFT($A313,FIND("|",$A313)-1)),3)),IFERROR(VALUE(LEFT(LOWER(LEFT($A313,FIND("|",$A313)-1)),2)),IFERROR(VALUE(LEFT(LOWER(LEFT($A313,FIND("|",$A313)-1)),1)),-1))),"000000")&amp;MID(LOWER(LEFT($A313,FIND("|",$A313)-1)),LEN(TEXT(IFERROR(VALUE(LEFT(LOWER(LEFT($A313,FIND("|",$A313)-1)),3)),IFERROR(VALUE(LEFT(LOWER(LEFT($A313,FIND("|",$A313)-1)),2)),IFERROR(VALUE(LEFT(LOWER(LEFT($A313,FIND("|",$A313)-1)),1)),-1))),"0"))+1,99),LOWER(LEFT($A313,FIND("|",$A313)-1)))&amp;CHAR(9)&amp;TEXT(IF(SUBSTITUTE(MID($A313,FIND("|",$A313)+1,50),"'","")="",0,IFERROR(VALUE(SUBSTITUTE(MID($A313,FIND("|",$A313)+1,50),"'","")),999999)),"000000")&amp;CHAR(9)&amp;TEXT($B313,"0000"))</f>
        <v/>
      </c>
      <c r="E313" s="4">
        <f>IF($D313="","",SUMPRODUCT(($D$5:$D$364&lt;&gt;"")*($D$5:$D$364&lt;$D313))+1)</f>
        <v/>
      </c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70">
      <c r="A314" s="4">
        <f t="array" ref="A314">IF(N(INDIRECT("'Pull Sheet'!AG16"))&gt;0,INDIRECT("'Pull Sheet'!AE16")&amp;"|"&amp;INDIRECT("'Pull Sheet'!AF16"),"")</f>
        <v/>
      </c>
      <c r="B314" s="4">
        <f>IF(AND($A314&lt;&gt;"",COUNTIF($A$5:$A314,$A314)=1),MAX($B$4:$B313)+1,"")</f>
        <v/>
      </c>
      <c r="C314" s="4">
        <f t="array" ref="C314">IF($A314="","",N(INDIRECT("'Pull Sheet'!AG16")))</f>
        <v/>
      </c>
      <c r="D314" s="4">
        <f>IF($B314="","",IF(IFERROR(VALUE(LEFT(LOWER(LEFT($A314,FIND("|",$A314)-1)),3)),IFERROR(VALUE(LEFT(LOWER(LEFT($A314,FIND("|",$A314)-1)),2)),IFERROR(VALUE(LEFT(LOWER(LEFT($A314,FIND("|",$A314)-1)),1)),-1)))&gt;=0,TEXT(IFERROR(VALUE(LEFT(LOWER(LEFT($A314,FIND("|",$A314)-1)),3)),IFERROR(VALUE(LEFT(LOWER(LEFT($A314,FIND("|",$A314)-1)),2)),IFERROR(VALUE(LEFT(LOWER(LEFT($A314,FIND("|",$A314)-1)),1)),-1))),"000000")&amp;MID(LOWER(LEFT($A314,FIND("|",$A314)-1)),LEN(TEXT(IFERROR(VALUE(LEFT(LOWER(LEFT($A314,FIND("|",$A314)-1)),3)),IFERROR(VALUE(LEFT(LOWER(LEFT($A314,FIND("|",$A314)-1)),2)),IFERROR(VALUE(LEFT(LOWER(LEFT($A314,FIND("|",$A314)-1)),1)),-1))),"0"))+1,99),LOWER(LEFT($A314,FIND("|",$A314)-1)))&amp;CHAR(9)&amp;TEXT(IF(SUBSTITUTE(MID($A314,FIND("|",$A314)+1,50),"'","")="",0,IFERROR(VALUE(SUBSTITUTE(MID($A314,FIND("|",$A314)+1,50),"'","")),999999)),"000000")&amp;CHAR(9)&amp;TEXT($B314,"0000"))</f>
        <v/>
      </c>
      <c r="E314" s="4">
        <f>IF($D314="","",SUMPRODUCT(($D$5:$D$364&lt;&gt;"")*($D$5:$D$364&lt;$D314))+1)</f>
        <v/>
      </c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70">
      <c r="A315" s="4">
        <f t="array" ref="A315">IF(N(INDIRECT("'Pull Sheet'!AG17"))&gt;0,INDIRECT("'Pull Sheet'!AE17")&amp;"|"&amp;INDIRECT("'Pull Sheet'!AF17"),"")</f>
        <v/>
      </c>
      <c r="B315" s="4">
        <f>IF(AND($A315&lt;&gt;"",COUNTIF($A$5:$A315,$A315)=1),MAX($B$4:$B314)+1,"")</f>
        <v/>
      </c>
      <c r="C315" s="4">
        <f t="array" ref="C315">IF($A315="","",N(INDIRECT("'Pull Sheet'!AG17")))</f>
        <v/>
      </c>
      <c r="D315" s="4">
        <f>IF($B315="","",IF(IFERROR(VALUE(LEFT(LOWER(LEFT($A315,FIND("|",$A315)-1)),3)),IFERROR(VALUE(LEFT(LOWER(LEFT($A315,FIND("|",$A315)-1)),2)),IFERROR(VALUE(LEFT(LOWER(LEFT($A315,FIND("|",$A315)-1)),1)),-1)))&gt;=0,TEXT(IFERROR(VALUE(LEFT(LOWER(LEFT($A315,FIND("|",$A315)-1)),3)),IFERROR(VALUE(LEFT(LOWER(LEFT($A315,FIND("|",$A315)-1)),2)),IFERROR(VALUE(LEFT(LOWER(LEFT($A315,FIND("|",$A315)-1)),1)),-1))),"000000")&amp;MID(LOWER(LEFT($A315,FIND("|",$A315)-1)),LEN(TEXT(IFERROR(VALUE(LEFT(LOWER(LEFT($A315,FIND("|",$A315)-1)),3)),IFERROR(VALUE(LEFT(LOWER(LEFT($A315,FIND("|",$A315)-1)),2)),IFERROR(VALUE(LEFT(LOWER(LEFT($A315,FIND("|",$A315)-1)),1)),-1))),"0"))+1,99),LOWER(LEFT($A315,FIND("|",$A315)-1)))&amp;CHAR(9)&amp;TEXT(IF(SUBSTITUTE(MID($A315,FIND("|",$A315)+1,50),"'","")="",0,IFERROR(VALUE(SUBSTITUTE(MID($A315,FIND("|",$A315)+1,50),"'","")),999999)),"000000")&amp;CHAR(9)&amp;TEXT($B315,"0000"))</f>
        <v/>
      </c>
      <c r="E315" s="4">
        <f>IF($D315="","",SUMPRODUCT(($D$5:$D$364&lt;&gt;"")*($D$5:$D$364&lt;$D315))+1)</f>
        <v/>
      </c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70">
      <c r="A316" s="4">
        <f t="array" ref="A316">IF(N(INDIRECT("'Pull Sheet'!AG18"))&gt;0,INDIRECT("'Pull Sheet'!AE18")&amp;"|"&amp;INDIRECT("'Pull Sheet'!AF18"),"")</f>
        <v/>
      </c>
      <c r="B316" s="4">
        <f>IF(AND($A316&lt;&gt;"",COUNTIF($A$5:$A316,$A316)=1),MAX($B$4:$B315)+1,"")</f>
        <v/>
      </c>
      <c r="C316" s="4">
        <f t="array" ref="C316">IF($A316="","",N(INDIRECT("'Pull Sheet'!AG18")))</f>
        <v/>
      </c>
      <c r="D316" s="4">
        <f>IF($B316="","",IF(IFERROR(VALUE(LEFT(LOWER(LEFT($A316,FIND("|",$A316)-1)),3)),IFERROR(VALUE(LEFT(LOWER(LEFT($A316,FIND("|",$A316)-1)),2)),IFERROR(VALUE(LEFT(LOWER(LEFT($A316,FIND("|",$A316)-1)),1)),-1)))&gt;=0,TEXT(IFERROR(VALUE(LEFT(LOWER(LEFT($A316,FIND("|",$A316)-1)),3)),IFERROR(VALUE(LEFT(LOWER(LEFT($A316,FIND("|",$A316)-1)),2)),IFERROR(VALUE(LEFT(LOWER(LEFT($A316,FIND("|",$A316)-1)),1)),-1))),"000000")&amp;MID(LOWER(LEFT($A316,FIND("|",$A316)-1)),LEN(TEXT(IFERROR(VALUE(LEFT(LOWER(LEFT($A316,FIND("|",$A316)-1)),3)),IFERROR(VALUE(LEFT(LOWER(LEFT($A316,FIND("|",$A316)-1)),2)),IFERROR(VALUE(LEFT(LOWER(LEFT($A316,FIND("|",$A316)-1)),1)),-1))),"0"))+1,99),LOWER(LEFT($A316,FIND("|",$A316)-1)))&amp;CHAR(9)&amp;TEXT(IF(SUBSTITUTE(MID($A316,FIND("|",$A316)+1,50),"'","")="",0,IFERROR(VALUE(SUBSTITUTE(MID($A316,FIND("|",$A316)+1,50),"'","")),999999)),"000000")&amp;CHAR(9)&amp;TEXT($B316,"0000"))</f>
        <v/>
      </c>
      <c r="E316" s="4">
        <f>IF($D316="","",SUMPRODUCT(($D$5:$D$364&lt;&gt;"")*($D$5:$D$364&lt;$D316))+1)</f>
        <v/>
      </c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70">
      <c r="A317" s="4">
        <f t="array" ref="A317">IF(N(INDIRECT("'Pull Sheet'!AG19"))&gt;0,INDIRECT("'Pull Sheet'!AE19")&amp;"|"&amp;INDIRECT("'Pull Sheet'!AF19"),"")</f>
        <v/>
      </c>
      <c r="B317" s="4">
        <f>IF(AND($A317&lt;&gt;"",COUNTIF($A$5:$A317,$A317)=1),MAX($B$4:$B316)+1,"")</f>
        <v/>
      </c>
      <c r="C317" s="4">
        <f t="array" ref="C317">IF($A317="","",N(INDIRECT("'Pull Sheet'!AG19")))</f>
        <v/>
      </c>
      <c r="D317" s="4">
        <f>IF($B317="","",IF(IFERROR(VALUE(LEFT(LOWER(LEFT($A317,FIND("|",$A317)-1)),3)),IFERROR(VALUE(LEFT(LOWER(LEFT($A317,FIND("|",$A317)-1)),2)),IFERROR(VALUE(LEFT(LOWER(LEFT($A317,FIND("|",$A317)-1)),1)),-1)))&gt;=0,TEXT(IFERROR(VALUE(LEFT(LOWER(LEFT($A317,FIND("|",$A317)-1)),3)),IFERROR(VALUE(LEFT(LOWER(LEFT($A317,FIND("|",$A317)-1)),2)),IFERROR(VALUE(LEFT(LOWER(LEFT($A317,FIND("|",$A317)-1)),1)),-1))),"000000")&amp;MID(LOWER(LEFT($A317,FIND("|",$A317)-1)),LEN(TEXT(IFERROR(VALUE(LEFT(LOWER(LEFT($A317,FIND("|",$A317)-1)),3)),IFERROR(VALUE(LEFT(LOWER(LEFT($A317,FIND("|",$A317)-1)),2)),IFERROR(VALUE(LEFT(LOWER(LEFT($A317,FIND("|",$A317)-1)),1)),-1))),"0"))+1,99),LOWER(LEFT($A317,FIND("|",$A317)-1)))&amp;CHAR(9)&amp;TEXT(IF(SUBSTITUTE(MID($A317,FIND("|",$A317)+1,50),"'","")="",0,IFERROR(VALUE(SUBSTITUTE(MID($A317,FIND("|",$A317)+1,50),"'","")),999999)),"000000")&amp;CHAR(9)&amp;TEXT($B317,"0000"))</f>
        <v/>
      </c>
      <c r="E317" s="4">
        <f>IF($D317="","",SUMPRODUCT(($D$5:$D$364&lt;&gt;"")*($D$5:$D$364&lt;$D317))+1)</f>
        <v/>
      </c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70">
      <c r="A318" s="4">
        <f t="array" ref="A318">IF(N(INDIRECT("'Pull Sheet'!AG20"))&gt;0,INDIRECT("'Pull Sheet'!AE20")&amp;"|"&amp;INDIRECT("'Pull Sheet'!AF20"),"")</f>
        <v/>
      </c>
      <c r="B318" s="4">
        <f>IF(AND($A318&lt;&gt;"",COUNTIF($A$5:$A318,$A318)=1),MAX($B$4:$B317)+1,"")</f>
        <v/>
      </c>
      <c r="C318" s="4">
        <f t="array" ref="C318">IF($A318="","",N(INDIRECT("'Pull Sheet'!AG20")))</f>
        <v/>
      </c>
      <c r="D318" s="4">
        <f>IF($B318="","",IF(IFERROR(VALUE(LEFT(LOWER(LEFT($A318,FIND("|",$A318)-1)),3)),IFERROR(VALUE(LEFT(LOWER(LEFT($A318,FIND("|",$A318)-1)),2)),IFERROR(VALUE(LEFT(LOWER(LEFT($A318,FIND("|",$A318)-1)),1)),-1)))&gt;=0,TEXT(IFERROR(VALUE(LEFT(LOWER(LEFT($A318,FIND("|",$A318)-1)),3)),IFERROR(VALUE(LEFT(LOWER(LEFT($A318,FIND("|",$A318)-1)),2)),IFERROR(VALUE(LEFT(LOWER(LEFT($A318,FIND("|",$A318)-1)),1)),-1))),"000000")&amp;MID(LOWER(LEFT($A318,FIND("|",$A318)-1)),LEN(TEXT(IFERROR(VALUE(LEFT(LOWER(LEFT($A318,FIND("|",$A318)-1)),3)),IFERROR(VALUE(LEFT(LOWER(LEFT($A318,FIND("|",$A318)-1)),2)),IFERROR(VALUE(LEFT(LOWER(LEFT($A318,FIND("|",$A318)-1)),1)),-1))),"0"))+1,99),LOWER(LEFT($A318,FIND("|",$A318)-1)))&amp;CHAR(9)&amp;TEXT(IF(SUBSTITUTE(MID($A318,FIND("|",$A318)+1,50),"'","")="",0,IFERROR(VALUE(SUBSTITUTE(MID($A318,FIND("|",$A318)+1,50),"'","")),999999)),"000000")&amp;CHAR(9)&amp;TEXT($B318,"0000"))</f>
        <v/>
      </c>
      <c r="E318" s="4">
        <f>IF($D318="","",SUMPRODUCT(($D$5:$D$364&lt;&gt;"")*($D$5:$D$364&lt;$D318))+1)</f>
        <v/>
      </c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70">
      <c r="A319" s="4">
        <f t="array" ref="A319">IF(N(INDIRECT("'Pull Sheet'!AG21"))&gt;0,INDIRECT("'Pull Sheet'!AE21")&amp;"|"&amp;INDIRECT("'Pull Sheet'!AF21"),"")</f>
        <v/>
      </c>
      <c r="B319" s="4">
        <f>IF(AND($A319&lt;&gt;"",COUNTIF($A$5:$A319,$A319)=1),MAX($B$4:$B318)+1,"")</f>
        <v/>
      </c>
      <c r="C319" s="4">
        <f t="array" ref="C319">IF($A319="","",N(INDIRECT("'Pull Sheet'!AG21")))</f>
        <v/>
      </c>
      <c r="D319" s="4">
        <f>IF($B319="","",IF(IFERROR(VALUE(LEFT(LOWER(LEFT($A319,FIND("|",$A319)-1)),3)),IFERROR(VALUE(LEFT(LOWER(LEFT($A319,FIND("|",$A319)-1)),2)),IFERROR(VALUE(LEFT(LOWER(LEFT($A319,FIND("|",$A319)-1)),1)),-1)))&gt;=0,TEXT(IFERROR(VALUE(LEFT(LOWER(LEFT($A319,FIND("|",$A319)-1)),3)),IFERROR(VALUE(LEFT(LOWER(LEFT($A319,FIND("|",$A319)-1)),2)),IFERROR(VALUE(LEFT(LOWER(LEFT($A319,FIND("|",$A319)-1)),1)),-1))),"000000")&amp;MID(LOWER(LEFT($A319,FIND("|",$A319)-1)),LEN(TEXT(IFERROR(VALUE(LEFT(LOWER(LEFT($A319,FIND("|",$A319)-1)),3)),IFERROR(VALUE(LEFT(LOWER(LEFT($A319,FIND("|",$A319)-1)),2)),IFERROR(VALUE(LEFT(LOWER(LEFT($A319,FIND("|",$A319)-1)),1)),-1))),"0"))+1,99),LOWER(LEFT($A319,FIND("|",$A319)-1)))&amp;CHAR(9)&amp;TEXT(IF(SUBSTITUTE(MID($A319,FIND("|",$A319)+1,50),"'","")="",0,IFERROR(VALUE(SUBSTITUTE(MID($A319,FIND("|",$A319)+1,50),"'","")),999999)),"000000")&amp;CHAR(9)&amp;TEXT($B319,"0000"))</f>
        <v/>
      </c>
      <c r="E319" s="4">
        <f>IF($D319="","",SUMPRODUCT(($D$5:$D$364&lt;&gt;"")*($D$5:$D$364&lt;$D319))+1)</f>
        <v/>
      </c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70">
      <c r="A320" s="4">
        <f t="array" ref="A320">IF(N(INDIRECT("'Pull Sheet'!AG22"))&gt;0,INDIRECT("'Pull Sheet'!AE22")&amp;"|"&amp;INDIRECT("'Pull Sheet'!AF22"),"")</f>
        <v/>
      </c>
      <c r="B320" s="4">
        <f>IF(AND($A320&lt;&gt;"",COUNTIF($A$5:$A320,$A320)=1),MAX($B$4:$B319)+1,"")</f>
        <v/>
      </c>
      <c r="C320" s="4">
        <f t="array" ref="C320">IF($A320="","",N(INDIRECT("'Pull Sheet'!AG22")))</f>
        <v/>
      </c>
      <c r="D320" s="4">
        <f>IF($B320="","",IF(IFERROR(VALUE(LEFT(LOWER(LEFT($A320,FIND("|",$A320)-1)),3)),IFERROR(VALUE(LEFT(LOWER(LEFT($A320,FIND("|",$A320)-1)),2)),IFERROR(VALUE(LEFT(LOWER(LEFT($A320,FIND("|",$A320)-1)),1)),-1)))&gt;=0,TEXT(IFERROR(VALUE(LEFT(LOWER(LEFT($A320,FIND("|",$A320)-1)),3)),IFERROR(VALUE(LEFT(LOWER(LEFT($A320,FIND("|",$A320)-1)),2)),IFERROR(VALUE(LEFT(LOWER(LEFT($A320,FIND("|",$A320)-1)),1)),-1))),"000000")&amp;MID(LOWER(LEFT($A320,FIND("|",$A320)-1)),LEN(TEXT(IFERROR(VALUE(LEFT(LOWER(LEFT($A320,FIND("|",$A320)-1)),3)),IFERROR(VALUE(LEFT(LOWER(LEFT($A320,FIND("|",$A320)-1)),2)),IFERROR(VALUE(LEFT(LOWER(LEFT($A320,FIND("|",$A320)-1)),1)),-1))),"0"))+1,99),LOWER(LEFT($A320,FIND("|",$A320)-1)))&amp;CHAR(9)&amp;TEXT(IF(SUBSTITUTE(MID($A320,FIND("|",$A320)+1,50),"'","")="",0,IFERROR(VALUE(SUBSTITUTE(MID($A320,FIND("|",$A320)+1,50),"'","")),999999)),"000000")&amp;CHAR(9)&amp;TEXT($B320,"0000"))</f>
        <v/>
      </c>
      <c r="E320" s="4">
        <f>IF($D320="","",SUMPRODUCT(($D$5:$D$364&lt;&gt;"")*($D$5:$D$364&lt;$D320))+1)</f>
        <v/>
      </c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70">
      <c r="A321" s="4">
        <f t="array" ref="A321">IF(N(INDIRECT("'Pull Sheet'!AG23"))&gt;0,INDIRECT("'Pull Sheet'!AE23")&amp;"|"&amp;INDIRECT("'Pull Sheet'!AF23"),"")</f>
        <v/>
      </c>
      <c r="B321" s="4">
        <f>IF(AND($A321&lt;&gt;"",COUNTIF($A$5:$A321,$A321)=1),MAX($B$4:$B320)+1,"")</f>
        <v/>
      </c>
      <c r="C321" s="4">
        <f t="array" ref="C321">IF($A321="","",N(INDIRECT("'Pull Sheet'!AG23")))</f>
        <v/>
      </c>
      <c r="D321" s="4">
        <f>IF($B321="","",IF(IFERROR(VALUE(LEFT(LOWER(LEFT($A321,FIND("|",$A321)-1)),3)),IFERROR(VALUE(LEFT(LOWER(LEFT($A321,FIND("|",$A321)-1)),2)),IFERROR(VALUE(LEFT(LOWER(LEFT($A321,FIND("|",$A321)-1)),1)),-1)))&gt;=0,TEXT(IFERROR(VALUE(LEFT(LOWER(LEFT($A321,FIND("|",$A321)-1)),3)),IFERROR(VALUE(LEFT(LOWER(LEFT($A321,FIND("|",$A321)-1)),2)),IFERROR(VALUE(LEFT(LOWER(LEFT($A321,FIND("|",$A321)-1)),1)),-1))),"000000")&amp;MID(LOWER(LEFT($A321,FIND("|",$A321)-1)),LEN(TEXT(IFERROR(VALUE(LEFT(LOWER(LEFT($A321,FIND("|",$A321)-1)),3)),IFERROR(VALUE(LEFT(LOWER(LEFT($A321,FIND("|",$A321)-1)),2)),IFERROR(VALUE(LEFT(LOWER(LEFT($A321,FIND("|",$A321)-1)),1)),-1))),"0"))+1,99),LOWER(LEFT($A321,FIND("|",$A321)-1)))&amp;CHAR(9)&amp;TEXT(IF(SUBSTITUTE(MID($A321,FIND("|",$A321)+1,50),"'","")="",0,IFERROR(VALUE(SUBSTITUTE(MID($A321,FIND("|",$A321)+1,50),"'","")),999999)),"000000")&amp;CHAR(9)&amp;TEXT($B321,"0000"))</f>
        <v/>
      </c>
      <c r="E321" s="4">
        <f>IF($D321="","",SUMPRODUCT(($D$5:$D$364&lt;&gt;"")*($D$5:$D$364&lt;$D321))+1)</f>
        <v/>
      </c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70">
      <c r="A322" s="4">
        <f t="array" ref="A322">IF(N(INDIRECT("'Pull Sheet'!AG24"))&gt;0,INDIRECT("'Pull Sheet'!AE24")&amp;"|"&amp;INDIRECT("'Pull Sheet'!AF24"),"")</f>
        <v/>
      </c>
      <c r="B322" s="4">
        <f>IF(AND($A322&lt;&gt;"",COUNTIF($A$5:$A322,$A322)=1),MAX($B$4:$B321)+1,"")</f>
        <v/>
      </c>
      <c r="C322" s="4">
        <f t="array" ref="C322">IF($A322="","",N(INDIRECT("'Pull Sheet'!AG24")))</f>
        <v/>
      </c>
      <c r="D322" s="4">
        <f>IF($B322="","",IF(IFERROR(VALUE(LEFT(LOWER(LEFT($A322,FIND("|",$A322)-1)),3)),IFERROR(VALUE(LEFT(LOWER(LEFT($A322,FIND("|",$A322)-1)),2)),IFERROR(VALUE(LEFT(LOWER(LEFT($A322,FIND("|",$A322)-1)),1)),-1)))&gt;=0,TEXT(IFERROR(VALUE(LEFT(LOWER(LEFT($A322,FIND("|",$A322)-1)),3)),IFERROR(VALUE(LEFT(LOWER(LEFT($A322,FIND("|",$A322)-1)),2)),IFERROR(VALUE(LEFT(LOWER(LEFT($A322,FIND("|",$A322)-1)),1)),-1))),"000000")&amp;MID(LOWER(LEFT($A322,FIND("|",$A322)-1)),LEN(TEXT(IFERROR(VALUE(LEFT(LOWER(LEFT($A322,FIND("|",$A322)-1)),3)),IFERROR(VALUE(LEFT(LOWER(LEFT($A322,FIND("|",$A322)-1)),2)),IFERROR(VALUE(LEFT(LOWER(LEFT($A322,FIND("|",$A322)-1)),1)),-1))),"0"))+1,99),LOWER(LEFT($A322,FIND("|",$A322)-1)))&amp;CHAR(9)&amp;TEXT(IF(SUBSTITUTE(MID($A322,FIND("|",$A322)+1,50),"'","")="",0,IFERROR(VALUE(SUBSTITUTE(MID($A322,FIND("|",$A322)+1,50),"'","")),999999)),"000000")&amp;CHAR(9)&amp;TEXT($B322,"0000"))</f>
        <v/>
      </c>
      <c r="E322" s="4">
        <f>IF($D322="","",SUMPRODUCT(($D$5:$D$364&lt;&gt;"")*($D$5:$D$364&lt;$D322))+1)</f>
        <v/>
      </c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70">
      <c r="A323" s="4">
        <f t="array" ref="A323">IF(N(INDIRECT("'Pull Sheet'!AG25"))&gt;0,INDIRECT("'Pull Sheet'!AE25")&amp;"|"&amp;INDIRECT("'Pull Sheet'!AF25"),"")</f>
        <v/>
      </c>
      <c r="B323" s="4">
        <f>IF(AND($A323&lt;&gt;"",COUNTIF($A$5:$A323,$A323)=1),MAX($B$4:$B322)+1,"")</f>
        <v/>
      </c>
      <c r="C323" s="4">
        <f t="array" ref="C323">IF($A323="","",N(INDIRECT("'Pull Sheet'!AG25")))</f>
        <v/>
      </c>
      <c r="D323" s="4">
        <f>IF($B323="","",IF(IFERROR(VALUE(LEFT(LOWER(LEFT($A323,FIND("|",$A323)-1)),3)),IFERROR(VALUE(LEFT(LOWER(LEFT($A323,FIND("|",$A323)-1)),2)),IFERROR(VALUE(LEFT(LOWER(LEFT($A323,FIND("|",$A323)-1)),1)),-1)))&gt;=0,TEXT(IFERROR(VALUE(LEFT(LOWER(LEFT($A323,FIND("|",$A323)-1)),3)),IFERROR(VALUE(LEFT(LOWER(LEFT($A323,FIND("|",$A323)-1)),2)),IFERROR(VALUE(LEFT(LOWER(LEFT($A323,FIND("|",$A323)-1)),1)),-1))),"000000")&amp;MID(LOWER(LEFT($A323,FIND("|",$A323)-1)),LEN(TEXT(IFERROR(VALUE(LEFT(LOWER(LEFT($A323,FIND("|",$A323)-1)),3)),IFERROR(VALUE(LEFT(LOWER(LEFT($A323,FIND("|",$A323)-1)),2)),IFERROR(VALUE(LEFT(LOWER(LEFT($A323,FIND("|",$A323)-1)),1)),-1))),"0"))+1,99),LOWER(LEFT($A323,FIND("|",$A323)-1)))&amp;CHAR(9)&amp;TEXT(IF(SUBSTITUTE(MID($A323,FIND("|",$A323)+1,50),"'","")="",0,IFERROR(VALUE(SUBSTITUTE(MID($A323,FIND("|",$A323)+1,50),"'","")),999999)),"000000")&amp;CHAR(9)&amp;TEXT($B323,"0000"))</f>
        <v/>
      </c>
      <c r="E323" s="4">
        <f>IF($D323="","",SUMPRODUCT(($D$5:$D$364&lt;&gt;"")*($D$5:$D$364&lt;$D323))+1)</f>
        <v/>
      </c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70">
      <c r="A324" s="4">
        <f t="array" ref="A324">IF(N(INDIRECT("'Pull Sheet'!AG26"))&gt;0,INDIRECT("'Pull Sheet'!AE26")&amp;"|"&amp;INDIRECT("'Pull Sheet'!AF26"),"")</f>
        <v/>
      </c>
      <c r="B324" s="4">
        <f>IF(AND($A324&lt;&gt;"",COUNTIF($A$5:$A324,$A324)=1),MAX($B$4:$B323)+1,"")</f>
        <v/>
      </c>
      <c r="C324" s="4">
        <f t="array" ref="C324">IF($A324="","",N(INDIRECT("'Pull Sheet'!AG26")))</f>
        <v/>
      </c>
      <c r="D324" s="4">
        <f>IF($B324="","",IF(IFERROR(VALUE(LEFT(LOWER(LEFT($A324,FIND("|",$A324)-1)),3)),IFERROR(VALUE(LEFT(LOWER(LEFT($A324,FIND("|",$A324)-1)),2)),IFERROR(VALUE(LEFT(LOWER(LEFT($A324,FIND("|",$A324)-1)),1)),-1)))&gt;=0,TEXT(IFERROR(VALUE(LEFT(LOWER(LEFT($A324,FIND("|",$A324)-1)),3)),IFERROR(VALUE(LEFT(LOWER(LEFT($A324,FIND("|",$A324)-1)),2)),IFERROR(VALUE(LEFT(LOWER(LEFT($A324,FIND("|",$A324)-1)),1)),-1))),"000000")&amp;MID(LOWER(LEFT($A324,FIND("|",$A324)-1)),LEN(TEXT(IFERROR(VALUE(LEFT(LOWER(LEFT($A324,FIND("|",$A324)-1)),3)),IFERROR(VALUE(LEFT(LOWER(LEFT($A324,FIND("|",$A324)-1)),2)),IFERROR(VALUE(LEFT(LOWER(LEFT($A324,FIND("|",$A324)-1)),1)),-1))),"0"))+1,99),LOWER(LEFT($A324,FIND("|",$A324)-1)))&amp;CHAR(9)&amp;TEXT(IF(SUBSTITUTE(MID($A324,FIND("|",$A324)+1,50),"'","")="",0,IFERROR(VALUE(SUBSTITUTE(MID($A324,FIND("|",$A324)+1,50),"'","")),999999)),"000000")&amp;CHAR(9)&amp;TEXT($B324,"0000"))</f>
        <v/>
      </c>
      <c r="E324" s="4">
        <f>IF($D324="","",SUMPRODUCT(($D$5:$D$364&lt;&gt;"")*($D$5:$D$364&lt;$D324))+1)</f>
        <v/>
      </c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70">
      <c r="A325" s="4">
        <f t="array" ref="A325">IF(N(INDIRECT("'Pull Sheet'!AG27"))&gt;0,INDIRECT("'Pull Sheet'!AE27")&amp;"|"&amp;INDIRECT("'Pull Sheet'!AF27"),"")</f>
        <v/>
      </c>
      <c r="B325" s="4">
        <f>IF(AND($A325&lt;&gt;"",COUNTIF($A$5:$A325,$A325)=1),MAX($B$4:$B324)+1,"")</f>
        <v/>
      </c>
      <c r="C325" s="4">
        <f t="array" ref="C325">IF($A325="","",N(INDIRECT("'Pull Sheet'!AG27")))</f>
        <v/>
      </c>
      <c r="D325" s="4">
        <f>IF($B325="","",IF(IFERROR(VALUE(LEFT(LOWER(LEFT($A325,FIND("|",$A325)-1)),3)),IFERROR(VALUE(LEFT(LOWER(LEFT($A325,FIND("|",$A325)-1)),2)),IFERROR(VALUE(LEFT(LOWER(LEFT($A325,FIND("|",$A325)-1)),1)),-1)))&gt;=0,TEXT(IFERROR(VALUE(LEFT(LOWER(LEFT($A325,FIND("|",$A325)-1)),3)),IFERROR(VALUE(LEFT(LOWER(LEFT($A325,FIND("|",$A325)-1)),2)),IFERROR(VALUE(LEFT(LOWER(LEFT($A325,FIND("|",$A325)-1)),1)),-1))),"000000")&amp;MID(LOWER(LEFT($A325,FIND("|",$A325)-1)),LEN(TEXT(IFERROR(VALUE(LEFT(LOWER(LEFT($A325,FIND("|",$A325)-1)),3)),IFERROR(VALUE(LEFT(LOWER(LEFT($A325,FIND("|",$A325)-1)),2)),IFERROR(VALUE(LEFT(LOWER(LEFT($A325,FIND("|",$A325)-1)),1)),-1))),"0"))+1,99),LOWER(LEFT($A325,FIND("|",$A325)-1)))&amp;CHAR(9)&amp;TEXT(IF(SUBSTITUTE(MID($A325,FIND("|",$A325)+1,50),"'","")="",0,IFERROR(VALUE(SUBSTITUTE(MID($A325,FIND("|",$A325)+1,50),"'","")),999999)),"000000")&amp;CHAR(9)&amp;TEXT($B325,"0000"))</f>
        <v/>
      </c>
      <c r="E325" s="4">
        <f>IF($D325="","",SUMPRODUCT(($D$5:$D$364&lt;&gt;"")*($D$5:$D$364&lt;$D325))+1)</f>
        <v/>
      </c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70">
      <c r="A326" s="4">
        <f t="array" ref="A326">IF(N(INDIRECT("'Pull Sheet'!AG28"))&gt;0,INDIRECT("'Pull Sheet'!AE28")&amp;"|"&amp;INDIRECT("'Pull Sheet'!AF28"),"")</f>
        <v/>
      </c>
      <c r="B326" s="4">
        <f>IF(AND($A326&lt;&gt;"",COUNTIF($A$5:$A326,$A326)=1),MAX($B$4:$B325)+1,"")</f>
        <v/>
      </c>
      <c r="C326" s="4">
        <f t="array" ref="C326">IF($A326="","",N(INDIRECT("'Pull Sheet'!AG28")))</f>
        <v/>
      </c>
      <c r="D326" s="4">
        <f>IF($B326="","",IF(IFERROR(VALUE(LEFT(LOWER(LEFT($A326,FIND("|",$A326)-1)),3)),IFERROR(VALUE(LEFT(LOWER(LEFT($A326,FIND("|",$A326)-1)),2)),IFERROR(VALUE(LEFT(LOWER(LEFT($A326,FIND("|",$A326)-1)),1)),-1)))&gt;=0,TEXT(IFERROR(VALUE(LEFT(LOWER(LEFT($A326,FIND("|",$A326)-1)),3)),IFERROR(VALUE(LEFT(LOWER(LEFT($A326,FIND("|",$A326)-1)),2)),IFERROR(VALUE(LEFT(LOWER(LEFT($A326,FIND("|",$A326)-1)),1)),-1))),"000000")&amp;MID(LOWER(LEFT($A326,FIND("|",$A326)-1)),LEN(TEXT(IFERROR(VALUE(LEFT(LOWER(LEFT($A326,FIND("|",$A326)-1)),3)),IFERROR(VALUE(LEFT(LOWER(LEFT($A326,FIND("|",$A326)-1)),2)),IFERROR(VALUE(LEFT(LOWER(LEFT($A326,FIND("|",$A326)-1)),1)),-1))),"0"))+1,99),LOWER(LEFT($A326,FIND("|",$A326)-1)))&amp;CHAR(9)&amp;TEXT(IF(SUBSTITUTE(MID($A326,FIND("|",$A326)+1,50),"'","")="",0,IFERROR(VALUE(SUBSTITUTE(MID($A326,FIND("|",$A326)+1,50),"'","")),999999)),"000000")&amp;CHAR(9)&amp;TEXT($B326,"0000"))</f>
        <v/>
      </c>
      <c r="E326" s="4">
        <f>IF($D326="","",SUMPRODUCT(($D$5:$D$364&lt;&gt;"")*($D$5:$D$364&lt;$D326))+1)</f>
        <v/>
      </c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70">
      <c r="A327" s="4">
        <f t="array" ref="A327">IF(N(INDIRECT("'Pull Sheet'!AG29"))&gt;0,INDIRECT("'Pull Sheet'!AE29")&amp;"|"&amp;INDIRECT("'Pull Sheet'!AF29"),"")</f>
        <v/>
      </c>
      <c r="B327" s="4">
        <f>IF(AND($A327&lt;&gt;"",COUNTIF($A$5:$A327,$A327)=1),MAX($B$4:$B326)+1,"")</f>
        <v/>
      </c>
      <c r="C327" s="4">
        <f t="array" ref="C327">IF($A327="","",N(INDIRECT("'Pull Sheet'!AG29")))</f>
        <v/>
      </c>
      <c r="D327" s="4">
        <f>IF($B327="","",IF(IFERROR(VALUE(LEFT(LOWER(LEFT($A327,FIND("|",$A327)-1)),3)),IFERROR(VALUE(LEFT(LOWER(LEFT($A327,FIND("|",$A327)-1)),2)),IFERROR(VALUE(LEFT(LOWER(LEFT($A327,FIND("|",$A327)-1)),1)),-1)))&gt;=0,TEXT(IFERROR(VALUE(LEFT(LOWER(LEFT($A327,FIND("|",$A327)-1)),3)),IFERROR(VALUE(LEFT(LOWER(LEFT($A327,FIND("|",$A327)-1)),2)),IFERROR(VALUE(LEFT(LOWER(LEFT($A327,FIND("|",$A327)-1)),1)),-1))),"000000")&amp;MID(LOWER(LEFT($A327,FIND("|",$A327)-1)),LEN(TEXT(IFERROR(VALUE(LEFT(LOWER(LEFT($A327,FIND("|",$A327)-1)),3)),IFERROR(VALUE(LEFT(LOWER(LEFT($A327,FIND("|",$A327)-1)),2)),IFERROR(VALUE(LEFT(LOWER(LEFT($A327,FIND("|",$A327)-1)),1)),-1))),"0"))+1,99),LOWER(LEFT($A327,FIND("|",$A327)-1)))&amp;CHAR(9)&amp;TEXT(IF(SUBSTITUTE(MID($A327,FIND("|",$A327)+1,50),"'","")="",0,IFERROR(VALUE(SUBSTITUTE(MID($A327,FIND("|",$A327)+1,50),"'","")),999999)),"000000")&amp;CHAR(9)&amp;TEXT($B327,"0000"))</f>
        <v/>
      </c>
      <c r="E327" s="4">
        <f>IF($D327="","",SUMPRODUCT(($D$5:$D$364&lt;&gt;"")*($D$5:$D$364&lt;$D327))+1)</f>
        <v/>
      </c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70">
      <c r="A328" s="4">
        <f t="array" ref="A328">IF(N(INDIRECT("'Pull Sheet'!AG30"))&gt;0,INDIRECT("'Pull Sheet'!AE30")&amp;"|"&amp;INDIRECT("'Pull Sheet'!AF30"),"")</f>
        <v/>
      </c>
      <c r="B328" s="4">
        <f>IF(AND($A328&lt;&gt;"",COUNTIF($A$5:$A328,$A328)=1),MAX($B$4:$B327)+1,"")</f>
        <v/>
      </c>
      <c r="C328" s="4">
        <f t="array" ref="C328">IF($A328="","",N(INDIRECT("'Pull Sheet'!AG30")))</f>
        <v/>
      </c>
      <c r="D328" s="4">
        <f>IF($B328="","",IF(IFERROR(VALUE(LEFT(LOWER(LEFT($A328,FIND("|",$A328)-1)),3)),IFERROR(VALUE(LEFT(LOWER(LEFT($A328,FIND("|",$A328)-1)),2)),IFERROR(VALUE(LEFT(LOWER(LEFT($A328,FIND("|",$A328)-1)),1)),-1)))&gt;=0,TEXT(IFERROR(VALUE(LEFT(LOWER(LEFT($A328,FIND("|",$A328)-1)),3)),IFERROR(VALUE(LEFT(LOWER(LEFT($A328,FIND("|",$A328)-1)),2)),IFERROR(VALUE(LEFT(LOWER(LEFT($A328,FIND("|",$A328)-1)),1)),-1))),"000000")&amp;MID(LOWER(LEFT($A328,FIND("|",$A328)-1)),LEN(TEXT(IFERROR(VALUE(LEFT(LOWER(LEFT($A328,FIND("|",$A328)-1)),3)),IFERROR(VALUE(LEFT(LOWER(LEFT($A328,FIND("|",$A328)-1)),2)),IFERROR(VALUE(LEFT(LOWER(LEFT($A328,FIND("|",$A328)-1)),1)),-1))),"0"))+1,99),LOWER(LEFT($A328,FIND("|",$A328)-1)))&amp;CHAR(9)&amp;TEXT(IF(SUBSTITUTE(MID($A328,FIND("|",$A328)+1,50),"'","")="",0,IFERROR(VALUE(SUBSTITUTE(MID($A328,FIND("|",$A328)+1,50),"'","")),999999)),"000000")&amp;CHAR(9)&amp;TEXT($B328,"0000"))</f>
        <v/>
      </c>
      <c r="E328" s="4">
        <f>IF($D328="","",SUMPRODUCT(($D$5:$D$364&lt;&gt;"")*($D$5:$D$364&lt;$D328))+1)</f>
        <v/>
      </c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70">
      <c r="A329" s="4">
        <f t="array" ref="A329">IF(N(INDIRECT("'Pull Sheet'!AG31"))&gt;0,INDIRECT("'Pull Sheet'!AE31")&amp;"|"&amp;INDIRECT("'Pull Sheet'!AF31"),"")</f>
        <v/>
      </c>
      <c r="B329" s="4">
        <f>IF(AND($A329&lt;&gt;"",COUNTIF($A$5:$A329,$A329)=1),MAX($B$4:$B328)+1,"")</f>
        <v/>
      </c>
      <c r="C329" s="4">
        <f t="array" ref="C329">IF($A329="","",N(INDIRECT("'Pull Sheet'!AG31")))</f>
        <v/>
      </c>
      <c r="D329" s="4">
        <f>IF($B329="","",IF(IFERROR(VALUE(LEFT(LOWER(LEFT($A329,FIND("|",$A329)-1)),3)),IFERROR(VALUE(LEFT(LOWER(LEFT($A329,FIND("|",$A329)-1)),2)),IFERROR(VALUE(LEFT(LOWER(LEFT($A329,FIND("|",$A329)-1)),1)),-1)))&gt;=0,TEXT(IFERROR(VALUE(LEFT(LOWER(LEFT($A329,FIND("|",$A329)-1)),3)),IFERROR(VALUE(LEFT(LOWER(LEFT($A329,FIND("|",$A329)-1)),2)),IFERROR(VALUE(LEFT(LOWER(LEFT($A329,FIND("|",$A329)-1)),1)),-1))),"000000")&amp;MID(LOWER(LEFT($A329,FIND("|",$A329)-1)),LEN(TEXT(IFERROR(VALUE(LEFT(LOWER(LEFT($A329,FIND("|",$A329)-1)),3)),IFERROR(VALUE(LEFT(LOWER(LEFT($A329,FIND("|",$A329)-1)),2)),IFERROR(VALUE(LEFT(LOWER(LEFT($A329,FIND("|",$A329)-1)),1)),-1))),"0"))+1,99),LOWER(LEFT($A329,FIND("|",$A329)-1)))&amp;CHAR(9)&amp;TEXT(IF(SUBSTITUTE(MID($A329,FIND("|",$A329)+1,50),"'","")="",0,IFERROR(VALUE(SUBSTITUTE(MID($A329,FIND("|",$A329)+1,50),"'","")),999999)),"000000")&amp;CHAR(9)&amp;TEXT($B329,"0000"))</f>
        <v/>
      </c>
      <c r="E329" s="4">
        <f>IF($D329="","",SUMPRODUCT(($D$5:$D$364&lt;&gt;"")*($D$5:$D$364&lt;$D329))+1)</f>
        <v/>
      </c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70">
      <c r="A330" s="4">
        <f t="array" ref="A330">IF(N(INDIRECT("'Pull Sheet'!AG32"))&gt;0,INDIRECT("'Pull Sheet'!AE32")&amp;"|"&amp;INDIRECT("'Pull Sheet'!AF32"),"")</f>
        <v/>
      </c>
      <c r="B330" s="4">
        <f>IF(AND($A330&lt;&gt;"",COUNTIF($A$5:$A330,$A330)=1),MAX($B$4:$B329)+1,"")</f>
        <v/>
      </c>
      <c r="C330" s="4">
        <f t="array" ref="C330">IF($A330="","",N(INDIRECT("'Pull Sheet'!AG32")))</f>
        <v/>
      </c>
      <c r="D330" s="4">
        <f>IF($B330="","",IF(IFERROR(VALUE(LEFT(LOWER(LEFT($A330,FIND("|",$A330)-1)),3)),IFERROR(VALUE(LEFT(LOWER(LEFT($A330,FIND("|",$A330)-1)),2)),IFERROR(VALUE(LEFT(LOWER(LEFT($A330,FIND("|",$A330)-1)),1)),-1)))&gt;=0,TEXT(IFERROR(VALUE(LEFT(LOWER(LEFT($A330,FIND("|",$A330)-1)),3)),IFERROR(VALUE(LEFT(LOWER(LEFT($A330,FIND("|",$A330)-1)),2)),IFERROR(VALUE(LEFT(LOWER(LEFT($A330,FIND("|",$A330)-1)),1)),-1))),"000000")&amp;MID(LOWER(LEFT($A330,FIND("|",$A330)-1)),LEN(TEXT(IFERROR(VALUE(LEFT(LOWER(LEFT($A330,FIND("|",$A330)-1)),3)),IFERROR(VALUE(LEFT(LOWER(LEFT($A330,FIND("|",$A330)-1)),2)),IFERROR(VALUE(LEFT(LOWER(LEFT($A330,FIND("|",$A330)-1)),1)),-1))),"0"))+1,99),LOWER(LEFT($A330,FIND("|",$A330)-1)))&amp;CHAR(9)&amp;TEXT(IF(SUBSTITUTE(MID($A330,FIND("|",$A330)+1,50),"'","")="",0,IFERROR(VALUE(SUBSTITUTE(MID($A330,FIND("|",$A330)+1,50),"'","")),999999)),"000000")&amp;CHAR(9)&amp;TEXT($B330,"0000"))</f>
        <v/>
      </c>
      <c r="E330" s="4">
        <f>IF($D330="","",SUMPRODUCT(($D$5:$D$364&lt;&gt;"")*($D$5:$D$364&lt;$D330))+1)</f>
        <v/>
      </c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70">
      <c r="A331" s="4">
        <f t="array" ref="A331">IF(N(INDIRECT("'Pull Sheet'!AG33"))&gt;0,INDIRECT("'Pull Sheet'!AE33")&amp;"|"&amp;INDIRECT("'Pull Sheet'!AF33"),"")</f>
        <v/>
      </c>
      <c r="B331" s="4">
        <f>IF(AND($A331&lt;&gt;"",COUNTIF($A$5:$A331,$A331)=1),MAX($B$4:$B330)+1,"")</f>
        <v/>
      </c>
      <c r="C331" s="4">
        <f t="array" ref="C331">IF($A331="","",N(INDIRECT("'Pull Sheet'!AG33")))</f>
        <v/>
      </c>
      <c r="D331" s="4">
        <f>IF($B331="","",IF(IFERROR(VALUE(LEFT(LOWER(LEFT($A331,FIND("|",$A331)-1)),3)),IFERROR(VALUE(LEFT(LOWER(LEFT($A331,FIND("|",$A331)-1)),2)),IFERROR(VALUE(LEFT(LOWER(LEFT($A331,FIND("|",$A331)-1)),1)),-1)))&gt;=0,TEXT(IFERROR(VALUE(LEFT(LOWER(LEFT($A331,FIND("|",$A331)-1)),3)),IFERROR(VALUE(LEFT(LOWER(LEFT($A331,FIND("|",$A331)-1)),2)),IFERROR(VALUE(LEFT(LOWER(LEFT($A331,FIND("|",$A331)-1)),1)),-1))),"000000")&amp;MID(LOWER(LEFT($A331,FIND("|",$A331)-1)),LEN(TEXT(IFERROR(VALUE(LEFT(LOWER(LEFT($A331,FIND("|",$A331)-1)),3)),IFERROR(VALUE(LEFT(LOWER(LEFT($A331,FIND("|",$A331)-1)),2)),IFERROR(VALUE(LEFT(LOWER(LEFT($A331,FIND("|",$A331)-1)),1)),-1))),"0"))+1,99),LOWER(LEFT($A331,FIND("|",$A331)-1)))&amp;CHAR(9)&amp;TEXT(IF(SUBSTITUTE(MID($A331,FIND("|",$A331)+1,50),"'","")="",0,IFERROR(VALUE(SUBSTITUTE(MID($A331,FIND("|",$A331)+1,50),"'","")),999999)),"000000")&amp;CHAR(9)&amp;TEXT($B331,"0000"))</f>
        <v/>
      </c>
      <c r="E331" s="4">
        <f>IF($D331="","",SUMPRODUCT(($D$5:$D$364&lt;&gt;"")*($D$5:$D$364&lt;$D331))+1)</f>
        <v/>
      </c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70">
      <c r="A332" s="4">
        <f t="array" ref="A332">IF(N(INDIRECT("'Pull Sheet'!AG34"))&gt;0,INDIRECT("'Pull Sheet'!AE34")&amp;"|"&amp;INDIRECT("'Pull Sheet'!AF34"),"")</f>
        <v/>
      </c>
      <c r="B332" s="4">
        <f>IF(AND($A332&lt;&gt;"",COUNTIF($A$5:$A332,$A332)=1),MAX($B$4:$B331)+1,"")</f>
        <v/>
      </c>
      <c r="C332" s="4">
        <f t="array" ref="C332">IF($A332="","",N(INDIRECT("'Pull Sheet'!AG34")))</f>
        <v/>
      </c>
      <c r="D332" s="4">
        <f>IF($B332="","",IF(IFERROR(VALUE(LEFT(LOWER(LEFT($A332,FIND("|",$A332)-1)),3)),IFERROR(VALUE(LEFT(LOWER(LEFT($A332,FIND("|",$A332)-1)),2)),IFERROR(VALUE(LEFT(LOWER(LEFT($A332,FIND("|",$A332)-1)),1)),-1)))&gt;=0,TEXT(IFERROR(VALUE(LEFT(LOWER(LEFT($A332,FIND("|",$A332)-1)),3)),IFERROR(VALUE(LEFT(LOWER(LEFT($A332,FIND("|",$A332)-1)),2)),IFERROR(VALUE(LEFT(LOWER(LEFT($A332,FIND("|",$A332)-1)),1)),-1))),"000000")&amp;MID(LOWER(LEFT($A332,FIND("|",$A332)-1)),LEN(TEXT(IFERROR(VALUE(LEFT(LOWER(LEFT($A332,FIND("|",$A332)-1)),3)),IFERROR(VALUE(LEFT(LOWER(LEFT($A332,FIND("|",$A332)-1)),2)),IFERROR(VALUE(LEFT(LOWER(LEFT($A332,FIND("|",$A332)-1)),1)),-1))),"0"))+1,99),LOWER(LEFT($A332,FIND("|",$A332)-1)))&amp;CHAR(9)&amp;TEXT(IF(SUBSTITUTE(MID($A332,FIND("|",$A332)+1,50),"'","")="",0,IFERROR(VALUE(SUBSTITUTE(MID($A332,FIND("|",$A332)+1,50),"'","")),999999)),"000000")&amp;CHAR(9)&amp;TEXT($B332,"0000"))</f>
        <v/>
      </c>
      <c r="E332" s="4">
        <f>IF($D332="","",SUMPRODUCT(($D$5:$D$364&lt;&gt;"")*($D$5:$D$364&lt;$D332))+1)</f>
        <v/>
      </c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70">
      <c r="A333" s="4">
        <f t="array" ref="A333">IF(N(INDIRECT("'Pull Sheet'!AG35"))&gt;0,INDIRECT("'Pull Sheet'!AE35")&amp;"|"&amp;INDIRECT("'Pull Sheet'!AF35"),"")</f>
        <v/>
      </c>
      <c r="B333" s="4">
        <f>IF(AND($A333&lt;&gt;"",COUNTIF($A$5:$A333,$A333)=1),MAX($B$4:$B332)+1,"")</f>
        <v/>
      </c>
      <c r="C333" s="4">
        <f t="array" ref="C333">IF($A333="","",N(INDIRECT("'Pull Sheet'!AG35")))</f>
        <v/>
      </c>
      <c r="D333" s="4">
        <f>IF($B333="","",IF(IFERROR(VALUE(LEFT(LOWER(LEFT($A333,FIND("|",$A333)-1)),3)),IFERROR(VALUE(LEFT(LOWER(LEFT($A333,FIND("|",$A333)-1)),2)),IFERROR(VALUE(LEFT(LOWER(LEFT($A333,FIND("|",$A333)-1)),1)),-1)))&gt;=0,TEXT(IFERROR(VALUE(LEFT(LOWER(LEFT($A333,FIND("|",$A333)-1)),3)),IFERROR(VALUE(LEFT(LOWER(LEFT($A333,FIND("|",$A333)-1)),2)),IFERROR(VALUE(LEFT(LOWER(LEFT($A333,FIND("|",$A333)-1)),1)),-1))),"000000")&amp;MID(LOWER(LEFT($A333,FIND("|",$A333)-1)),LEN(TEXT(IFERROR(VALUE(LEFT(LOWER(LEFT($A333,FIND("|",$A333)-1)),3)),IFERROR(VALUE(LEFT(LOWER(LEFT($A333,FIND("|",$A333)-1)),2)),IFERROR(VALUE(LEFT(LOWER(LEFT($A333,FIND("|",$A333)-1)),1)),-1))),"0"))+1,99),LOWER(LEFT($A333,FIND("|",$A333)-1)))&amp;CHAR(9)&amp;TEXT(IF(SUBSTITUTE(MID($A333,FIND("|",$A333)+1,50),"'","")="",0,IFERROR(VALUE(SUBSTITUTE(MID($A333,FIND("|",$A333)+1,50),"'","")),999999)),"000000")&amp;CHAR(9)&amp;TEXT($B333,"0000"))</f>
        <v/>
      </c>
      <c r="E333" s="4">
        <f>IF($D333="","",SUMPRODUCT(($D$5:$D$364&lt;&gt;"")*($D$5:$D$364&lt;$D333))+1)</f>
        <v/>
      </c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70">
      <c r="A334" s="4">
        <f t="array" ref="A334">IF(N(INDIRECT("'Pull Sheet'!AG36"))&gt;0,INDIRECT("'Pull Sheet'!AE36")&amp;"|"&amp;INDIRECT("'Pull Sheet'!AF36"),"")</f>
        <v/>
      </c>
      <c r="B334" s="4">
        <f>IF(AND($A334&lt;&gt;"",COUNTIF($A$5:$A334,$A334)=1),MAX($B$4:$B333)+1,"")</f>
        <v/>
      </c>
      <c r="C334" s="4">
        <f t="array" ref="C334">IF($A334="","",N(INDIRECT("'Pull Sheet'!AG36")))</f>
        <v/>
      </c>
      <c r="D334" s="4">
        <f>IF($B334="","",IF(IFERROR(VALUE(LEFT(LOWER(LEFT($A334,FIND("|",$A334)-1)),3)),IFERROR(VALUE(LEFT(LOWER(LEFT($A334,FIND("|",$A334)-1)),2)),IFERROR(VALUE(LEFT(LOWER(LEFT($A334,FIND("|",$A334)-1)),1)),-1)))&gt;=0,TEXT(IFERROR(VALUE(LEFT(LOWER(LEFT($A334,FIND("|",$A334)-1)),3)),IFERROR(VALUE(LEFT(LOWER(LEFT($A334,FIND("|",$A334)-1)),2)),IFERROR(VALUE(LEFT(LOWER(LEFT($A334,FIND("|",$A334)-1)),1)),-1))),"000000")&amp;MID(LOWER(LEFT($A334,FIND("|",$A334)-1)),LEN(TEXT(IFERROR(VALUE(LEFT(LOWER(LEFT($A334,FIND("|",$A334)-1)),3)),IFERROR(VALUE(LEFT(LOWER(LEFT($A334,FIND("|",$A334)-1)),2)),IFERROR(VALUE(LEFT(LOWER(LEFT($A334,FIND("|",$A334)-1)),1)),-1))),"0"))+1,99),LOWER(LEFT($A334,FIND("|",$A334)-1)))&amp;CHAR(9)&amp;TEXT(IF(SUBSTITUTE(MID($A334,FIND("|",$A334)+1,50),"'","")="",0,IFERROR(VALUE(SUBSTITUTE(MID($A334,FIND("|",$A334)+1,50),"'","")),999999)),"000000")&amp;CHAR(9)&amp;TEXT($B334,"0000"))</f>
        <v/>
      </c>
      <c r="E334" s="4">
        <f>IF($D334="","",SUMPRODUCT(($D$5:$D$364&lt;&gt;"")*($D$5:$D$364&lt;$D334))+1)</f>
        <v/>
      </c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70">
      <c r="A335" s="4">
        <f t="array" ref="A335">IF(N(INDIRECT("'Pull Sheet'!AG37"))&gt;0,INDIRECT("'Pull Sheet'!AE37")&amp;"|"&amp;INDIRECT("'Pull Sheet'!AF37"),"")</f>
        <v/>
      </c>
      <c r="B335" s="4">
        <f>IF(AND($A335&lt;&gt;"",COUNTIF($A$5:$A335,$A335)=1),MAX($B$4:$B334)+1,"")</f>
        <v/>
      </c>
      <c r="C335" s="4">
        <f t="array" ref="C335">IF($A335="","",N(INDIRECT("'Pull Sheet'!AG37")))</f>
        <v/>
      </c>
      <c r="D335" s="4">
        <f>IF($B335="","",IF(IFERROR(VALUE(LEFT(LOWER(LEFT($A335,FIND("|",$A335)-1)),3)),IFERROR(VALUE(LEFT(LOWER(LEFT($A335,FIND("|",$A335)-1)),2)),IFERROR(VALUE(LEFT(LOWER(LEFT($A335,FIND("|",$A335)-1)),1)),-1)))&gt;=0,TEXT(IFERROR(VALUE(LEFT(LOWER(LEFT($A335,FIND("|",$A335)-1)),3)),IFERROR(VALUE(LEFT(LOWER(LEFT($A335,FIND("|",$A335)-1)),2)),IFERROR(VALUE(LEFT(LOWER(LEFT($A335,FIND("|",$A335)-1)),1)),-1))),"000000")&amp;MID(LOWER(LEFT($A335,FIND("|",$A335)-1)),LEN(TEXT(IFERROR(VALUE(LEFT(LOWER(LEFT($A335,FIND("|",$A335)-1)),3)),IFERROR(VALUE(LEFT(LOWER(LEFT($A335,FIND("|",$A335)-1)),2)),IFERROR(VALUE(LEFT(LOWER(LEFT($A335,FIND("|",$A335)-1)),1)),-1))),"0"))+1,99),LOWER(LEFT($A335,FIND("|",$A335)-1)))&amp;CHAR(9)&amp;TEXT(IF(SUBSTITUTE(MID($A335,FIND("|",$A335)+1,50),"'","")="",0,IFERROR(VALUE(SUBSTITUTE(MID($A335,FIND("|",$A335)+1,50),"'","")),999999)),"000000")&amp;CHAR(9)&amp;TEXT($B335,"0000"))</f>
        <v/>
      </c>
      <c r="E335" s="4">
        <f>IF($D335="","",SUMPRODUCT(($D$5:$D$364&lt;&gt;"")*($D$5:$D$364&lt;$D335))+1)</f>
        <v/>
      </c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70">
      <c r="A336" s="4">
        <f t="array" ref="A336">IF(N(INDIRECT("'Pull Sheet'!AG38"))&gt;0,INDIRECT("'Pull Sheet'!AE38")&amp;"|"&amp;INDIRECT("'Pull Sheet'!AF38"),"")</f>
        <v/>
      </c>
      <c r="B336" s="4">
        <f>IF(AND($A336&lt;&gt;"",COUNTIF($A$5:$A336,$A336)=1),MAX($B$4:$B335)+1,"")</f>
        <v/>
      </c>
      <c r="C336" s="4">
        <f t="array" ref="C336">IF($A336="","",N(INDIRECT("'Pull Sheet'!AG38")))</f>
        <v/>
      </c>
      <c r="D336" s="4">
        <f>IF($B336="","",IF(IFERROR(VALUE(LEFT(LOWER(LEFT($A336,FIND("|",$A336)-1)),3)),IFERROR(VALUE(LEFT(LOWER(LEFT($A336,FIND("|",$A336)-1)),2)),IFERROR(VALUE(LEFT(LOWER(LEFT($A336,FIND("|",$A336)-1)),1)),-1)))&gt;=0,TEXT(IFERROR(VALUE(LEFT(LOWER(LEFT($A336,FIND("|",$A336)-1)),3)),IFERROR(VALUE(LEFT(LOWER(LEFT($A336,FIND("|",$A336)-1)),2)),IFERROR(VALUE(LEFT(LOWER(LEFT($A336,FIND("|",$A336)-1)),1)),-1))),"000000")&amp;MID(LOWER(LEFT($A336,FIND("|",$A336)-1)),LEN(TEXT(IFERROR(VALUE(LEFT(LOWER(LEFT($A336,FIND("|",$A336)-1)),3)),IFERROR(VALUE(LEFT(LOWER(LEFT($A336,FIND("|",$A336)-1)),2)),IFERROR(VALUE(LEFT(LOWER(LEFT($A336,FIND("|",$A336)-1)),1)),-1))),"0"))+1,99),LOWER(LEFT($A336,FIND("|",$A336)-1)))&amp;CHAR(9)&amp;TEXT(IF(SUBSTITUTE(MID($A336,FIND("|",$A336)+1,50),"'","")="",0,IFERROR(VALUE(SUBSTITUTE(MID($A336,FIND("|",$A336)+1,50),"'","")),999999)),"000000")&amp;CHAR(9)&amp;TEXT($B336,"0000"))</f>
        <v/>
      </c>
      <c r="E336" s="4">
        <f>IF($D336="","",SUMPRODUCT(($D$5:$D$364&lt;&gt;"")*($D$5:$D$364&lt;$D336))+1)</f>
        <v/>
      </c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70">
      <c r="A337" s="4">
        <f t="array" ref="A337">IF(N(INDIRECT("'Pull Sheet'!AG39"))&gt;0,INDIRECT("'Pull Sheet'!AE39")&amp;"|"&amp;INDIRECT("'Pull Sheet'!AF39"),"")</f>
        <v/>
      </c>
      <c r="B337" s="4">
        <f>IF(AND($A337&lt;&gt;"",COUNTIF($A$5:$A337,$A337)=1),MAX($B$4:$B336)+1,"")</f>
        <v/>
      </c>
      <c r="C337" s="4">
        <f t="array" ref="C337">IF($A337="","",N(INDIRECT("'Pull Sheet'!AG39")))</f>
        <v/>
      </c>
      <c r="D337" s="4">
        <f>IF($B337="","",IF(IFERROR(VALUE(LEFT(LOWER(LEFT($A337,FIND("|",$A337)-1)),3)),IFERROR(VALUE(LEFT(LOWER(LEFT($A337,FIND("|",$A337)-1)),2)),IFERROR(VALUE(LEFT(LOWER(LEFT($A337,FIND("|",$A337)-1)),1)),-1)))&gt;=0,TEXT(IFERROR(VALUE(LEFT(LOWER(LEFT($A337,FIND("|",$A337)-1)),3)),IFERROR(VALUE(LEFT(LOWER(LEFT($A337,FIND("|",$A337)-1)),2)),IFERROR(VALUE(LEFT(LOWER(LEFT($A337,FIND("|",$A337)-1)),1)),-1))),"000000")&amp;MID(LOWER(LEFT($A337,FIND("|",$A337)-1)),LEN(TEXT(IFERROR(VALUE(LEFT(LOWER(LEFT($A337,FIND("|",$A337)-1)),3)),IFERROR(VALUE(LEFT(LOWER(LEFT($A337,FIND("|",$A337)-1)),2)),IFERROR(VALUE(LEFT(LOWER(LEFT($A337,FIND("|",$A337)-1)),1)),-1))),"0"))+1,99),LOWER(LEFT($A337,FIND("|",$A337)-1)))&amp;CHAR(9)&amp;TEXT(IF(SUBSTITUTE(MID($A337,FIND("|",$A337)+1,50),"'","")="",0,IFERROR(VALUE(SUBSTITUTE(MID($A337,FIND("|",$A337)+1,50),"'","")),999999)),"000000")&amp;CHAR(9)&amp;TEXT($B337,"0000"))</f>
        <v/>
      </c>
      <c r="E337" s="4">
        <f>IF($D337="","",SUMPRODUCT(($D$5:$D$364&lt;&gt;"")*($D$5:$D$364&lt;$D337))+1)</f>
        <v/>
      </c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70">
      <c r="A338" s="4">
        <f t="array" ref="A338">IF(N(INDIRECT("'Pull Sheet'!AG40"))&gt;0,INDIRECT("'Pull Sheet'!AE40")&amp;"|"&amp;INDIRECT("'Pull Sheet'!AF40"),"")</f>
        <v/>
      </c>
      <c r="B338" s="4">
        <f>IF(AND($A338&lt;&gt;"",COUNTIF($A$5:$A338,$A338)=1),MAX($B$4:$B337)+1,"")</f>
        <v/>
      </c>
      <c r="C338" s="4">
        <f t="array" ref="C338">IF($A338="","",N(INDIRECT("'Pull Sheet'!AG40")))</f>
        <v/>
      </c>
      <c r="D338" s="4">
        <f>IF($B338="","",IF(IFERROR(VALUE(LEFT(LOWER(LEFT($A338,FIND("|",$A338)-1)),3)),IFERROR(VALUE(LEFT(LOWER(LEFT($A338,FIND("|",$A338)-1)),2)),IFERROR(VALUE(LEFT(LOWER(LEFT($A338,FIND("|",$A338)-1)),1)),-1)))&gt;=0,TEXT(IFERROR(VALUE(LEFT(LOWER(LEFT($A338,FIND("|",$A338)-1)),3)),IFERROR(VALUE(LEFT(LOWER(LEFT($A338,FIND("|",$A338)-1)),2)),IFERROR(VALUE(LEFT(LOWER(LEFT($A338,FIND("|",$A338)-1)),1)),-1))),"000000")&amp;MID(LOWER(LEFT($A338,FIND("|",$A338)-1)),LEN(TEXT(IFERROR(VALUE(LEFT(LOWER(LEFT($A338,FIND("|",$A338)-1)),3)),IFERROR(VALUE(LEFT(LOWER(LEFT($A338,FIND("|",$A338)-1)),2)),IFERROR(VALUE(LEFT(LOWER(LEFT($A338,FIND("|",$A338)-1)),1)),-1))),"0"))+1,99),LOWER(LEFT($A338,FIND("|",$A338)-1)))&amp;CHAR(9)&amp;TEXT(IF(SUBSTITUTE(MID($A338,FIND("|",$A338)+1,50),"'","")="",0,IFERROR(VALUE(SUBSTITUTE(MID($A338,FIND("|",$A338)+1,50),"'","")),999999)),"000000")&amp;CHAR(9)&amp;TEXT($B338,"0000"))</f>
        <v/>
      </c>
      <c r="E338" s="4">
        <f>IF($D338="","",SUMPRODUCT(($D$5:$D$364&lt;&gt;"")*($D$5:$D$364&lt;$D338))+1)</f>
        <v/>
      </c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70">
      <c r="A339" s="4">
        <f t="array" ref="A339">IF(N(INDIRECT("'Pull Sheet'!AG41"))&gt;0,INDIRECT("'Pull Sheet'!AE41")&amp;"|"&amp;INDIRECT("'Pull Sheet'!AF41"),"")</f>
        <v/>
      </c>
      <c r="B339" s="4">
        <f>IF(AND($A339&lt;&gt;"",COUNTIF($A$5:$A339,$A339)=1),MAX($B$4:$B338)+1,"")</f>
        <v/>
      </c>
      <c r="C339" s="4">
        <f t="array" ref="C339">IF($A339="","",N(INDIRECT("'Pull Sheet'!AG41")))</f>
        <v/>
      </c>
      <c r="D339" s="4">
        <f>IF($B339="","",IF(IFERROR(VALUE(LEFT(LOWER(LEFT($A339,FIND("|",$A339)-1)),3)),IFERROR(VALUE(LEFT(LOWER(LEFT($A339,FIND("|",$A339)-1)),2)),IFERROR(VALUE(LEFT(LOWER(LEFT($A339,FIND("|",$A339)-1)),1)),-1)))&gt;=0,TEXT(IFERROR(VALUE(LEFT(LOWER(LEFT($A339,FIND("|",$A339)-1)),3)),IFERROR(VALUE(LEFT(LOWER(LEFT($A339,FIND("|",$A339)-1)),2)),IFERROR(VALUE(LEFT(LOWER(LEFT($A339,FIND("|",$A339)-1)),1)),-1))),"000000")&amp;MID(LOWER(LEFT($A339,FIND("|",$A339)-1)),LEN(TEXT(IFERROR(VALUE(LEFT(LOWER(LEFT($A339,FIND("|",$A339)-1)),3)),IFERROR(VALUE(LEFT(LOWER(LEFT($A339,FIND("|",$A339)-1)),2)),IFERROR(VALUE(LEFT(LOWER(LEFT($A339,FIND("|",$A339)-1)),1)),-1))),"0"))+1,99),LOWER(LEFT($A339,FIND("|",$A339)-1)))&amp;CHAR(9)&amp;TEXT(IF(SUBSTITUTE(MID($A339,FIND("|",$A339)+1,50),"'","")="",0,IFERROR(VALUE(SUBSTITUTE(MID($A339,FIND("|",$A339)+1,50),"'","")),999999)),"000000")&amp;CHAR(9)&amp;TEXT($B339,"0000"))</f>
        <v/>
      </c>
      <c r="E339" s="4">
        <f>IF($D339="","",SUMPRODUCT(($D$5:$D$364&lt;&gt;"")*($D$5:$D$364&lt;$D339))+1)</f>
        <v/>
      </c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70">
      <c r="A340" s="4">
        <f t="array" ref="A340">IF(N(INDIRECT("'Pull Sheet'!AG42"))&gt;0,INDIRECT("'Pull Sheet'!AE42")&amp;"|"&amp;INDIRECT("'Pull Sheet'!AF42"),"")</f>
        <v/>
      </c>
      <c r="B340" s="4">
        <f>IF(AND($A340&lt;&gt;"",COUNTIF($A$5:$A340,$A340)=1),MAX($B$4:$B339)+1,"")</f>
        <v/>
      </c>
      <c r="C340" s="4">
        <f t="array" ref="C340">IF($A340="","",N(INDIRECT("'Pull Sheet'!AG42")))</f>
        <v/>
      </c>
      <c r="D340" s="4">
        <f>IF($B340="","",IF(IFERROR(VALUE(LEFT(LOWER(LEFT($A340,FIND("|",$A340)-1)),3)),IFERROR(VALUE(LEFT(LOWER(LEFT($A340,FIND("|",$A340)-1)),2)),IFERROR(VALUE(LEFT(LOWER(LEFT($A340,FIND("|",$A340)-1)),1)),-1)))&gt;=0,TEXT(IFERROR(VALUE(LEFT(LOWER(LEFT($A340,FIND("|",$A340)-1)),3)),IFERROR(VALUE(LEFT(LOWER(LEFT($A340,FIND("|",$A340)-1)),2)),IFERROR(VALUE(LEFT(LOWER(LEFT($A340,FIND("|",$A340)-1)),1)),-1))),"000000")&amp;MID(LOWER(LEFT($A340,FIND("|",$A340)-1)),LEN(TEXT(IFERROR(VALUE(LEFT(LOWER(LEFT($A340,FIND("|",$A340)-1)),3)),IFERROR(VALUE(LEFT(LOWER(LEFT($A340,FIND("|",$A340)-1)),2)),IFERROR(VALUE(LEFT(LOWER(LEFT($A340,FIND("|",$A340)-1)),1)),-1))),"0"))+1,99),LOWER(LEFT($A340,FIND("|",$A340)-1)))&amp;CHAR(9)&amp;TEXT(IF(SUBSTITUTE(MID($A340,FIND("|",$A340)+1,50),"'","")="",0,IFERROR(VALUE(SUBSTITUTE(MID($A340,FIND("|",$A340)+1,50),"'","")),999999)),"000000")&amp;CHAR(9)&amp;TEXT($B340,"0000"))</f>
        <v/>
      </c>
      <c r="E340" s="4">
        <f>IF($D340="","",SUMPRODUCT(($D$5:$D$364&lt;&gt;"")*($D$5:$D$364&lt;$D340))+1)</f>
        <v/>
      </c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70">
      <c r="A341" s="4">
        <f t="array" ref="A341">IF(N(INDIRECT("'Pull Sheet'!AG43"))&gt;0,INDIRECT("'Pull Sheet'!AE43")&amp;"|"&amp;INDIRECT("'Pull Sheet'!AF43"),"")</f>
        <v/>
      </c>
      <c r="B341" s="4">
        <f>IF(AND($A341&lt;&gt;"",COUNTIF($A$5:$A341,$A341)=1),MAX($B$4:$B340)+1,"")</f>
        <v/>
      </c>
      <c r="C341" s="4">
        <f t="array" ref="C341">IF($A341="","",N(INDIRECT("'Pull Sheet'!AG43")))</f>
        <v/>
      </c>
      <c r="D341" s="4">
        <f>IF($B341="","",IF(IFERROR(VALUE(LEFT(LOWER(LEFT($A341,FIND("|",$A341)-1)),3)),IFERROR(VALUE(LEFT(LOWER(LEFT($A341,FIND("|",$A341)-1)),2)),IFERROR(VALUE(LEFT(LOWER(LEFT($A341,FIND("|",$A341)-1)),1)),-1)))&gt;=0,TEXT(IFERROR(VALUE(LEFT(LOWER(LEFT($A341,FIND("|",$A341)-1)),3)),IFERROR(VALUE(LEFT(LOWER(LEFT($A341,FIND("|",$A341)-1)),2)),IFERROR(VALUE(LEFT(LOWER(LEFT($A341,FIND("|",$A341)-1)),1)),-1))),"000000")&amp;MID(LOWER(LEFT($A341,FIND("|",$A341)-1)),LEN(TEXT(IFERROR(VALUE(LEFT(LOWER(LEFT($A341,FIND("|",$A341)-1)),3)),IFERROR(VALUE(LEFT(LOWER(LEFT($A341,FIND("|",$A341)-1)),2)),IFERROR(VALUE(LEFT(LOWER(LEFT($A341,FIND("|",$A341)-1)),1)),-1))),"0"))+1,99),LOWER(LEFT($A341,FIND("|",$A341)-1)))&amp;CHAR(9)&amp;TEXT(IF(SUBSTITUTE(MID($A341,FIND("|",$A341)+1,50),"'","")="",0,IFERROR(VALUE(SUBSTITUTE(MID($A341,FIND("|",$A341)+1,50),"'","")),999999)),"000000")&amp;CHAR(9)&amp;TEXT($B341,"0000"))</f>
        <v/>
      </c>
      <c r="E341" s="4">
        <f>IF($D341="","",SUMPRODUCT(($D$5:$D$364&lt;&gt;"")*($D$5:$D$364&lt;$D341))+1)</f>
        <v/>
      </c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70">
      <c r="A342" s="4">
        <f t="array" ref="A342">IF(N(INDIRECT("'Pull Sheet'!AG44"))&gt;0,INDIRECT("'Pull Sheet'!AE44")&amp;"|"&amp;INDIRECT("'Pull Sheet'!AF44"),"")</f>
        <v/>
      </c>
      <c r="B342" s="4">
        <f>IF(AND($A342&lt;&gt;"",COUNTIF($A$5:$A342,$A342)=1),MAX($B$4:$B341)+1,"")</f>
        <v/>
      </c>
      <c r="C342" s="4">
        <f t="array" ref="C342">IF($A342="","",N(INDIRECT("'Pull Sheet'!AG44")))</f>
        <v/>
      </c>
      <c r="D342" s="4">
        <f>IF($B342="","",IF(IFERROR(VALUE(LEFT(LOWER(LEFT($A342,FIND("|",$A342)-1)),3)),IFERROR(VALUE(LEFT(LOWER(LEFT($A342,FIND("|",$A342)-1)),2)),IFERROR(VALUE(LEFT(LOWER(LEFT($A342,FIND("|",$A342)-1)),1)),-1)))&gt;=0,TEXT(IFERROR(VALUE(LEFT(LOWER(LEFT($A342,FIND("|",$A342)-1)),3)),IFERROR(VALUE(LEFT(LOWER(LEFT($A342,FIND("|",$A342)-1)),2)),IFERROR(VALUE(LEFT(LOWER(LEFT($A342,FIND("|",$A342)-1)),1)),-1))),"000000")&amp;MID(LOWER(LEFT($A342,FIND("|",$A342)-1)),LEN(TEXT(IFERROR(VALUE(LEFT(LOWER(LEFT($A342,FIND("|",$A342)-1)),3)),IFERROR(VALUE(LEFT(LOWER(LEFT($A342,FIND("|",$A342)-1)),2)),IFERROR(VALUE(LEFT(LOWER(LEFT($A342,FIND("|",$A342)-1)),1)),-1))),"0"))+1,99),LOWER(LEFT($A342,FIND("|",$A342)-1)))&amp;CHAR(9)&amp;TEXT(IF(SUBSTITUTE(MID($A342,FIND("|",$A342)+1,50),"'","")="",0,IFERROR(VALUE(SUBSTITUTE(MID($A342,FIND("|",$A342)+1,50),"'","")),999999)),"000000")&amp;CHAR(9)&amp;TEXT($B342,"0000"))</f>
        <v/>
      </c>
      <c r="E342" s="4">
        <f>IF($D342="","",SUMPRODUCT(($D$5:$D$364&lt;&gt;"")*($D$5:$D$364&lt;$D342))+1)</f>
        <v/>
      </c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70">
      <c r="A343" s="4">
        <f t="array" ref="A343">IF(N(INDIRECT("'Pull Sheet'!AG45"))&gt;0,INDIRECT("'Pull Sheet'!AE45")&amp;"|"&amp;INDIRECT("'Pull Sheet'!AF45"),"")</f>
        <v/>
      </c>
      <c r="B343" s="4">
        <f>IF(AND($A343&lt;&gt;"",COUNTIF($A$5:$A343,$A343)=1),MAX($B$4:$B342)+1,"")</f>
        <v/>
      </c>
      <c r="C343" s="4">
        <f t="array" ref="C343">IF($A343="","",N(INDIRECT("'Pull Sheet'!AG45")))</f>
        <v/>
      </c>
      <c r="D343" s="4">
        <f>IF($B343="","",IF(IFERROR(VALUE(LEFT(LOWER(LEFT($A343,FIND("|",$A343)-1)),3)),IFERROR(VALUE(LEFT(LOWER(LEFT($A343,FIND("|",$A343)-1)),2)),IFERROR(VALUE(LEFT(LOWER(LEFT($A343,FIND("|",$A343)-1)),1)),-1)))&gt;=0,TEXT(IFERROR(VALUE(LEFT(LOWER(LEFT($A343,FIND("|",$A343)-1)),3)),IFERROR(VALUE(LEFT(LOWER(LEFT($A343,FIND("|",$A343)-1)),2)),IFERROR(VALUE(LEFT(LOWER(LEFT($A343,FIND("|",$A343)-1)),1)),-1))),"000000")&amp;MID(LOWER(LEFT($A343,FIND("|",$A343)-1)),LEN(TEXT(IFERROR(VALUE(LEFT(LOWER(LEFT($A343,FIND("|",$A343)-1)),3)),IFERROR(VALUE(LEFT(LOWER(LEFT($A343,FIND("|",$A343)-1)),2)),IFERROR(VALUE(LEFT(LOWER(LEFT($A343,FIND("|",$A343)-1)),1)),-1))),"0"))+1,99),LOWER(LEFT($A343,FIND("|",$A343)-1)))&amp;CHAR(9)&amp;TEXT(IF(SUBSTITUTE(MID($A343,FIND("|",$A343)+1,50),"'","")="",0,IFERROR(VALUE(SUBSTITUTE(MID($A343,FIND("|",$A343)+1,50),"'","")),999999)),"000000")&amp;CHAR(9)&amp;TEXT($B343,"0000"))</f>
        <v/>
      </c>
      <c r="E343" s="4">
        <f>IF($D343="","",SUMPRODUCT(($D$5:$D$364&lt;&gt;"")*($D$5:$D$364&lt;$D343))+1)</f>
        <v/>
      </c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70">
      <c r="A344" s="4">
        <f t="array" ref="A344">IF(N(INDIRECT("'Pull Sheet'!AG46"))&gt;0,INDIRECT("'Pull Sheet'!AE46")&amp;"|"&amp;INDIRECT("'Pull Sheet'!AF46"),"")</f>
        <v/>
      </c>
      <c r="B344" s="4">
        <f>IF(AND($A344&lt;&gt;"",COUNTIF($A$5:$A344,$A344)=1),MAX($B$4:$B343)+1,"")</f>
        <v/>
      </c>
      <c r="C344" s="4">
        <f t="array" ref="C344">IF($A344="","",N(INDIRECT("'Pull Sheet'!AG46")))</f>
        <v/>
      </c>
      <c r="D344" s="4">
        <f>IF($B344="","",IF(IFERROR(VALUE(LEFT(LOWER(LEFT($A344,FIND("|",$A344)-1)),3)),IFERROR(VALUE(LEFT(LOWER(LEFT($A344,FIND("|",$A344)-1)),2)),IFERROR(VALUE(LEFT(LOWER(LEFT($A344,FIND("|",$A344)-1)),1)),-1)))&gt;=0,TEXT(IFERROR(VALUE(LEFT(LOWER(LEFT($A344,FIND("|",$A344)-1)),3)),IFERROR(VALUE(LEFT(LOWER(LEFT($A344,FIND("|",$A344)-1)),2)),IFERROR(VALUE(LEFT(LOWER(LEFT($A344,FIND("|",$A344)-1)),1)),-1))),"000000")&amp;MID(LOWER(LEFT($A344,FIND("|",$A344)-1)),LEN(TEXT(IFERROR(VALUE(LEFT(LOWER(LEFT($A344,FIND("|",$A344)-1)),3)),IFERROR(VALUE(LEFT(LOWER(LEFT($A344,FIND("|",$A344)-1)),2)),IFERROR(VALUE(LEFT(LOWER(LEFT($A344,FIND("|",$A344)-1)),1)),-1))),"0"))+1,99),LOWER(LEFT($A344,FIND("|",$A344)-1)))&amp;CHAR(9)&amp;TEXT(IF(SUBSTITUTE(MID($A344,FIND("|",$A344)+1,50),"'","")="",0,IFERROR(VALUE(SUBSTITUTE(MID($A344,FIND("|",$A344)+1,50),"'","")),999999)),"000000")&amp;CHAR(9)&amp;TEXT($B344,"0000"))</f>
        <v/>
      </c>
      <c r="E344" s="4">
        <f>IF($D344="","",SUMPRODUCT(($D$5:$D$364&lt;&gt;"")*($D$5:$D$364&lt;$D344))+1)</f>
        <v/>
      </c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70">
      <c r="A345" s="4">
        <f t="array" ref="A345">IF(N(INDIRECT("'Pull Sheet'!AG47"))&gt;0,INDIRECT("'Pull Sheet'!AE47")&amp;"|"&amp;INDIRECT("'Pull Sheet'!AF47"),"")</f>
        <v/>
      </c>
      <c r="B345" s="4">
        <f>IF(AND($A345&lt;&gt;"",COUNTIF($A$5:$A345,$A345)=1),MAX($B$4:$B344)+1,"")</f>
        <v/>
      </c>
      <c r="C345" s="4">
        <f t="array" ref="C345">IF($A345="","",N(INDIRECT("'Pull Sheet'!AG47")))</f>
        <v/>
      </c>
      <c r="D345" s="4">
        <f>IF($B345="","",IF(IFERROR(VALUE(LEFT(LOWER(LEFT($A345,FIND("|",$A345)-1)),3)),IFERROR(VALUE(LEFT(LOWER(LEFT($A345,FIND("|",$A345)-1)),2)),IFERROR(VALUE(LEFT(LOWER(LEFT($A345,FIND("|",$A345)-1)),1)),-1)))&gt;=0,TEXT(IFERROR(VALUE(LEFT(LOWER(LEFT($A345,FIND("|",$A345)-1)),3)),IFERROR(VALUE(LEFT(LOWER(LEFT($A345,FIND("|",$A345)-1)),2)),IFERROR(VALUE(LEFT(LOWER(LEFT($A345,FIND("|",$A345)-1)),1)),-1))),"000000")&amp;MID(LOWER(LEFT($A345,FIND("|",$A345)-1)),LEN(TEXT(IFERROR(VALUE(LEFT(LOWER(LEFT($A345,FIND("|",$A345)-1)),3)),IFERROR(VALUE(LEFT(LOWER(LEFT($A345,FIND("|",$A345)-1)),2)),IFERROR(VALUE(LEFT(LOWER(LEFT($A345,FIND("|",$A345)-1)),1)),-1))),"0"))+1,99),LOWER(LEFT($A345,FIND("|",$A345)-1)))&amp;CHAR(9)&amp;TEXT(IF(SUBSTITUTE(MID($A345,FIND("|",$A345)+1,50),"'","")="",0,IFERROR(VALUE(SUBSTITUTE(MID($A345,FIND("|",$A345)+1,50),"'","")),999999)),"000000")&amp;CHAR(9)&amp;TEXT($B345,"0000"))</f>
        <v/>
      </c>
      <c r="E345" s="4">
        <f>IF($D345="","",SUMPRODUCT(($D$5:$D$364&lt;&gt;"")*($D$5:$D$364&lt;$D345))+1)</f>
        <v/>
      </c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70">
      <c r="A346" s="4">
        <f t="array" ref="A346">IF(N(INDIRECT("'Pull Sheet'!AG48"))&gt;0,INDIRECT("'Pull Sheet'!AE48")&amp;"|"&amp;INDIRECT("'Pull Sheet'!AF48"),"")</f>
        <v/>
      </c>
      <c r="B346" s="4">
        <f>IF(AND($A346&lt;&gt;"",COUNTIF($A$5:$A346,$A346)=1),MAX($B$4:$B345)+1,"")</f>
        <v/>
      </c>
      <c r="C346" s="4">
        <f t="array" ref="C346">IF($A346="","",N(INDIRECT("'Pull Sheet'!AG48")))</f>
        <v/>
      </c>
      <c r="D346" s="4">
        <f>IF($B346="","",IF(IFERROR(VALUE(LEFT(LOWER(LEFT($A346,FIND("|",$A346)-1)),3)),IFERROR(VALUE(LEFT(LOWER(LEFT($A346,FIND("|",$A346)-1)),2)),IFERROR(VALUE(LEFT(LOWER(LEFT($A346,FIND("|",$A346)-1)),1)),-1)))&gt;=0,TEXT(IFERROR(VALUE(LEFT(LOWER(LEFT($A346,FIND("|",$A346)-1)),3)),IFERROR(VALUE(LEFT(LOWER(LEFT($A346,FIND("|",$A346)-1)),2)),IFERROR(VALUE(LEFT(LOWER(LEFT($A346,FIND("|",$A346)-1)),1)),-1))),"000000")&amp;MID(LOWER(LEFT($A346,FIND("|",$A346)-1)),LEN(TEXT(IFERROR(VALUE(LEFT(LOWER(LEFT($A346,FIND("|",$A346)-1)),3)),IFERROR(VALUE(LEFT(LOWER(LEFT($A346,FIND("|",$A346)-1)),2)),IFERROR(VALUE(LEFT(LOWER(LEFT($A346,FIND("|",$A346)-1)),1)),-1))),"0"))+1,99),LOWER(LEFT($A346,FIND("|",$A346)-1)))&amp;CHAR(9)&amp;TEXT(IF(SUBSTITUTE(MID($A346,FIND("|",$A346)+1,50),"'","")="",0,IFERROR(VALUE(SUBSTITUTE(MID($A346,FIND("|",$A346)+1,50),"'","")),999999)),"000000")&amp;CHAR(9)&amp;TEXT($B346,"0000"))</f>
        <v/>
      </c>
      <c r="E346" s="4">
        <f>IF($D346="","",SUMPRODUCT(($D$5:$D$364&lt;&gt;"")*($D$5:$D$364&lt;$D346))+1)</f>
        <v/>
      </c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70">
      <c r="A347" s="4">
        <f t="array" ref="A347">IF(N(INDIRECT("'Pull Sheet'!AG49"))&gt;0,INDIRECT("'Pull Sheet'!AE49")&amp;"|"&amp;INDIRECT("'Pull Sheet'!AF49"),"")</f>
        <v/>
      </c>
      <c r="B347" s="4">
        <f>IF(AND($A347&lt;&gt;"",COUNTIF($A$5:$A347,$A347)=1),MAX($B$4:$B346)+1,"")</f>
        <v/>
      </c>
      <c r="C347" s="4">
        <f t="array" ref="C347">IF($A347="","",N(INDIRECT("'Pull Sheet'!AG49")))</f>
        <v/>
      </c>
      <c r="D347" s="4">
        <f>IF($B347="","",IF(IFERROR(VALUE(LEFT(LOWER(LEFT($A347,FIND("|",$A347)-1)),3)),IFERROR(VALUE(LEFT(LOWER(LEFT($A347,FIND("|",$A347)-1)),2)),IFERROR(VALUE(LEFT(LOWER(LEFT($A347,FIND("|",$A347)-1)),1)),-1)))&gt;=0,TEXT(IFERROR(VALUE(LEFT(LOWER(LEFT($A347,FIND("|",$A347)-1)),3)),IFERROR(VALUE(LEFT(LOWER(LEFT($A347,FIND("|",$A347)-1)),2)),IFERROR(VALUE(LEFT(LOWER(LEFT($A347,FIND("|",$A347)-1)),1)),-1))),"000000")&amp;MID(LOWER(LEFT($A347,FIND("|",$A347)-1)),LEN(TEXT(IFERROR(VALUE(LEFT(LOWER(LEFT($A347,FIND("|",$A347)-1)),3)),IFERROR(VALUE(LEFT(LOWER(LEFT($A347,FIND("|",$A347)-1)),2)),IFERROR(VALUE(LEFT(LOWER(LEFT($A347,FIND("|",$A347)-1)),1)),-1))),"0"))+1,99),LOWER(LEFT($A347,FIND("|",$A347)-1)))&amp;CHAR(9)&amp;TEXT(IF(SUBSTITUTE(MID($A347,FIND("|",$A347)+1,50),"'","")="",0,IFERROR(VALUE(SUBSTITUTE(MID($A347,FIND("|",$A347)+1,50),"'","")),999999)),"000000")&amp;CHAR(9)&amp;TEXT($B347,"0000"))</f>
        <v/>
      </c>
      <c r="E347" s="4">
        <f>IF($D347="","",SUMPRODUCT(($D$5:$D$364&lt;&gt;"")*($D$5:$D$364&lt;$D347))+1)</f>
        <v/>
      </c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70">
      <c r="A348" s="4">
        <f t="array" ref="A348">IF(N(INDIRECT("'Pull Sheet'!AG50"))&gt;0,INDIRECT("'Pull Sheet'!AE50")&amp;"|"&amp;INDIRECT("'Pull Sheet'!AF50"),"")</f>
        <v/>
      </c>
      <c r="B348" s="4">
        <f>IF(AND($A348&lt;&gt;"",COUNTIF($A$5:$A348,$A348)=1),MAX($B$4:$B347)+1,"")</f>
        <v/>
      </c>
      <c r="C348" s="4">
        <f t="array" ref="C348">IF($A348="","",N(INDIRECT("'Pull Sheet'!AG50")))</f>
        <v/>
      </c>
      <c r="D348" s="4">
        <f>IF($B348="","",IF(IFERROR(VALUE(LEFT(LOWER(LEFT($A348,FIND("|",$A348)-1)),3)),IFERROR(VALUE(LEFT(LOWER(LEFT($A348,FIND("|",$A348)-1)),2)),IFERROR(VALUE(LEFT(LOWER(LEFT($A348,FIND("|",$A348)-1)),1)),-1)))&gt;=0,TEXT(IFERROR(VALUE(LEFT(LOWER(LEFT($A348,FIND("|",$A348)-1)),3)),IFERROR(VALUE(LEFT(LOWER(LEFT($A348,FIND("|",$A348)-1)),2)),IFERROR(VALUE(LEFT(LOWER(LEFT($A348,FIND("|",$A348)-1)),1)),-1))),"000000")&amp;MID(LOWER(LEFT($A348,FIND("|",$A348)-1)),LEN(TEXT(IFERROR(VALUE(LEFT(LOWER(LEFT($A348,FIND("|",$A348)-1)),3)),IFERROR(VALUE(LEFT(LOWER(LEFT($A348,FIND("|",$A348)-1)),2)),IFERROR(VALUE(LEFT(LOWER(LEFT($A348,FIND("|",$A348)-1)),1)),-1))),"0"))+1,99),LOWER(LEFT($A348,FIND("|",$A348)-1)))&amp;CHAR(9)&amp;TEXT(IF(SUBSTITUTE(MID($A348,FIND("|",$A348)+1,50),"'","")="",0,IFERROR(VALUE(SUBSTITUTE(MID($A348,FIND("|",$A348)+1,50),"'","")),999999)),"000000")&amp;CHAR(9)&amp;TEXT($B348,"0000"))</f>
        <v/>
      </c>
      <c r="E348" s="4">
        <f>IF($D348="","",SUMPRODUCT(($D$5:$D$364&lt;&gt;"")*($D$5:$D$364&lt;$D348))+1)</f>
        <v/>
      </c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70">
      <c r="A349" s="4">
        <f t="array" ref="A349">IF(N(INDIRECT("'Pull Sheet'!AG51"))&gt;0,INDIRECT("'Pull Sheet'!AE51")&amp;"|"&amp;INDIRECT("'Pull Sheet'!AF51"),"")</f>
        <v/>
      </c>
      <c r="B349" s="4">
        <f>IF(AND($A349&lt;&gt;"",COUNTIF($A$5:$A349,$A349)=1),MAX($B$4:$B348)+1,"")</f>
        <v/>
      </c>
      <c r="C349" s="4">
        <f t="array" ref="C349">IF($A349="","",N(INDIRECT("'Pull Sheet'!AG51")))</f>
        <v/>
      </c>
      <c r="D349" s="4">
        <f>IF($B349="","",IF(IFERROR(VALUE(LEFT(LOWER(LEFT($A349,FIND("|",$A349)-1)),3)),IFERROR(VALUE(LEFT(LOWER(LEFT($A349,FIND("|",$A349)-1)),2)),IFERROR(VALUE(LEFT(LOWER(LEFT($A349,FIND("|",$A349)-1)),1)),-1)))&gt;=0,TEXT(IFERROR(VALUE(LEFT(LOWER(LEFT($A349,FIND("|",$A349)-1)),3)),IFERROR(VALUE(LEFT(LOWER(LEFT($A349,FIND("|",$A349)-1)),2)),IFERROR(VALUE(LEFT(LOWER(LEFT($A349,FIND("|",$A349)-1)),1)),-1))),"000000")&amp;MID(LOWER(LEFT($A349,FIND("|",$A349)-1)),LEN(TEXT(IFERROR(VALUE(LEFT(LOWER(LEFT($A349,FIND("|",$A349)-1)),3)),IFERROR(VALUE(LEFT(LOWER(LEFT($A349,FIND("|",$A349)-1)),2)),IFERROR(VALUE(LEFT(LOWER(LEFT($A349,FIND("|",$A349)-1)),1)),-1))),"0"))+1,99),LOWER(LEFT($A349,FIND("|",$A349)-1)))&amp;CHAR(9)&amp;TEXT(IF(SUBSTITUTE(MID($A349,FIND("|",$A349)+1,50),"'","")="",0,IFERROR(VALUE(SUBSTITUTE(MID($A349,FIND("|",$A349)+1,50),"'","")),999999)),"000000")&amp;CHAR(9)&amp;TEXT($B349,"0000"))</f>
        <v/>
      </c>
      <c r="E349" s="4">
        <f>IF($D349="","",SUMPRODUCT(($D$5:$D$364&lt;&gt;"")*($D$5:$D$364&lt;$D349))+1)</f>
        <v/>
      </c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70">
      <c r="A350" s="4">
        <f t="array" ref="A350">IF(N(INDIRECT("'Pull Sheet'!AG52"))&gt;0,INDIRECT("'Pull Sheet'!AE52")&amp;"|"&amp;INDIRECT("'Pull Sheet'!AF52"),"")</f>
        <v/>
      </c>
      <c r="B350" s="4">
        <f>IF(AND($A350&lt;&gt;"",COUNTIF($A$5:$A350,$A350)=1),MAX($B$4:$B349)+1,"")</f>
        <v/>
      </c>
      <c r="C350" s="4">
        <f t="array" ref="C350">IF($A350="","",N(INDIRECT("'Pull Sheet'!AG52")))</f>
        <v/>
      </c>
      <c r="D350" s="4">
        <f>IF($B350="","",IF(IFERROR(VALUE(LEFT(LOWER(LEFT($A350,FIND("|",$A350)-1)),3)),IFERROR(VALUE(LEFT(LOWER(LEFT($A350,FIND("|",$A350)-1)),2)),IFERROR(VALUE(LEFT(LOWER(LEFT($A350,FIND("|",$A350)-1)),1)),-1)))&gt;=0,TEXT(IFERROR(VALUE(LEFT(LOWER(LEFT($A350,FIND("|",$A350)-1)),3)),IFERROR(VALUE(LEFT(LOWER(LEFT($A350,FIND("|",$A350)-1)),2)),IFERROR(VALUE(LEFT(LOWER(LEFT($A350,FIND("|",$A350)-1)),1)),-1))),"000000")&amp;MID(LOWER(LEFT($A350,FIND("|",$A350)-1)),LEN(TEXT(IFERROR(VALUE(LEFT(LOWER(LEFT($A350,FIND("|",$A350)-1)),3)),IFERROR(VALUE(LEFT(LOWER(LEFT($A350,FIND("|",$A350)-1)),2)),IFERROR(VALUE(LEFT(LOWER(LEFT($A350,FIND("|",$A350)-1)),1)),-1))),"0"))+1,99),LOWER(LEFT($A350,FIND("|",$A350)-1)))&amp;CHAR(9)&amp;TEXT(IF(SUBSTITUTE(MID($A350,FIND("|",$A350)+1,50),"'","")="",0,IFERROR(VALUE(SUBSTITUTE(MID($A350,FIND("|",$A350)+1,50),"'","")),999999)),"000000")&amp;CHAR(9)&amp;TEXT($B350,"0000"))</f>
        <v/>
      </c>
      <c r="E350" s="4">
        <f>IF($D350="","",SUMPRODUCT(($D$5:$D$364&lt;&gt;"")*($D$5:$D$364&lt;$D350))+1)</f>
        <v/>
      </c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70">
      <c r="A351" s="4">
        <f t="array" ref="A351">IF(N(INDIRECT("'Pull Sheet'!AG53"))&gt;0,INDIRECT("'Pull Sheet'!AE53")&amp;"|"&amp;INDIRECT("'Pull Sheet'!AF53"),"")</f>
        <v/>
      </c>
      <c r="B351" s="4">
        <f>IF(AND($A351&lt;&gt;"",COUNTIF($A$5:$A351,$A351)=1),MAX($B$4:$B350)+1,"")</f>
        <v/>
      </c>
      <c r="C351" s="4">
        <f t="array" ref="C351">IF($A351="","",N(INDIRECT("'Pull Sheet'!AG53")))</f>
        <v/>
      </c>
      <c r="D351" s="4">
        <f>IF($B351="","",IF(IFERROR(VALUE(LEFT(LOWER(LEFT($A351,FIND("|",$A351)-1)),3)),IFERROR(VALUE(LEFT(LOWER(LEFT($A351,FIND("|",$A351)-1)),2)),IFERROR(VALUE(LEFT(LOWER(LEFT($A351,FIND("|",$A351)-1)),1)),-1)))&gt;=0,TEXT(IFERROR(VALUE(LEFT(LOWER(LEFT($A351,FIND("|",$A351)-1)),3)),IFERROR(VALUE(LEFT(LOWER(LEFT($A351,FIND("|",$A351)-1)),2)),IFERROR(VALUE(LEFT(LOWER(LEFT($A351,FIND("|",$A351)-1)),1)),-1))),"000000")&amp;MID(LOWER(LEFT($A351,FIND("|",$A351)-1)),LEN(TEXT(IFERROR(VALUE(LEFT(LOWER(LEFT($A351,FIND("|",$A351)-1)),3)),IFERROR(VALUE(LEFT(LOWER(LEFT($A351,FIND("|",$A351)-1)),2)),IFERROR(VALUE(LEFT(LOWER(LEFT($A351,FIND("|",$A351)-1)),1)),-1))),"0"))+1,99),LOWER(LEFT($A351,FIND("|",$A351)-1)))&amp;CHAR(9)&amp;TEXT(IF(SUBSTITUTE(MID($A351,FIND("|",$A351)+1,50),"'","")="",0,IFERROR(VALUE(SUBSTITUTE(MID($A351,FIND("|",$A351)+1,50),"'","")),999999)),"000000")&amp;CHAR(9)&amp;TEXT($B351,"0000"))</f>
        <v/>
      </c>
      <c r="E351" s="4">
        <f>IF($D351="","",SUMPRODUCT(($D$5:$D$364&lt;&gt;"")*($D$5:$D$364&lt;$D351))+1)</f>
        <v/>
      </c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70">
      <c r="A352" s="4">
        <f t="array" ref="A352">IF(N(INDIRECT("'Pull Sheet'!AG54"))&gt;0,INDIRECT("'Pull Sheet'!AE54")&amp;"|"&amp;INDIRECT("'Pull Sheet'!AF54"),"")</f>
        <v/>
      </c>
      <c r="B352" s="4">
        <f>IF(AND($A352&lt;&gt;"",COUNTIF($A$5:$A352,$A352)=1),MAX($B$4:$B351)+1,"")</f>
        <v/>
      </c>
      <c r="C352" s="4">
        <f t="array" ref="C352">IF($A352="","",N(INDIRECT("'Pull Sheet'!AG54")))</f>
        <v/>
      </c>
      <c r="D352" s="4">
        <f>IF($B352="","",IF(IFERROR(VALUE(LEFT(LOWER(LEFT($A352,FIND("|",$A352)-1)),3)),IFERROR(VALUE(LEFT(LOWER(LEFT($A352,FIND("|",$A352)-1)),2)),IFERROR(VALUE(LEFT(LOWER(LEFT($A352,FIND("|",$A352)-1)),1)),-1)))&gt;=0,TEXT(IFERROR(VALUE(LEFT(LOWER(LEFT($A352,FIND("|",$A352)-1)),3)),IFERROR(VALUE(LEFT(LOWER(LEFT($A352,FIND("|",$A352)-1)),2)),IFERROR(VALUE(LEFT(LOWER(LEFT($A352,FIND("|",$A352)-1)),1)),-1))),"000000")&amp;MID(LOWER(LEFT($A352,FIND("|",$A352)-1)),LEN(TEXT(IFERROR(VALUE(LEFT(LOWER(LEFT($A352,FIND("|",$A352)-1)),3)),IFERROR(VALUE(LEFT(LOWER(LEFT($A352,FIND("|",$A352)-1)),2)),IFERROR(VALUE(LEFT(LOWER(LEFT($A352,FIND("|",$A352)-1)),1)),-1))),"0"))+1,99),LOWER(LEFT($A352,FIND("|",$A352)-1)))&amp;CHAR(9)&amp;TEXT(IF(SUBSTITUTE(MID($A352,FIND("|",$A352)+1,50),"'","")="",0,IFERROR(VALUE(SUBSTITUTE(MID($A352,FIND("|",$A352)+1,50),"'","")),999999)),"000000")&amp;CHAR(9)&amp;TEXT($B352,"0000"))</f>
        <v/>
      </c>
      <c r="E352" s="4">
        <f>IF($D352="","",SUMPRODUCT(($D$5:$D$364&lt;&gt;"")*($D$5:$D$364&lt;$D352))+1)</f>
        <v/>
      </c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70">
      <c r="A353" s="4">
        <f t="array" ref="A353">IF(N(INDIRECT("'Pull Sheet'!AG55"))&gt;0,INDIRECT("'Pull Sheet'!AE55")&amp;"|"&amp;INDIRECT("'Pull Sheet'!AF55"),"")</f>
        <v/>
      </c>
      <c r="B353" s="4">
        <f>IF(AND($A353&lt;&gt;"",COUNTIF($A$5:$A353,$A353)=1),MAX($B$4:$B352)+1,"")</f>
        <v/>
      </c>
      <c r="C353" s="4">
        <f t="array" ref="C353">IF($A353="","",N(INDIRECT("'Pull Sheet'!AG55")))</f>
        <v/>
      </c>
      <c r="D353" s="4">
        <f>IF($B353="","",IF(IFERROR(VALUE(LEFT(LOWER(LEFT($A353,FIND("|",$A353)-1)),3)),IFERROR(VALUE(LEFT(LOWER(LEFT($A353,FIND("|",$A353)-1)),2)),IFERROR(VALUE(LEFT(LOWER(LEFT($A353,FIND("|",$A353)-1)),1)),-1)))&gt;=0,TEXT(IFERROR(VALUE(LEFT(LOWER(LEFT($A353,FIND("|",$A353)-1)),3)),IFERROR(VALUE(LEFT(LOWER(LEFT($A353,FIND("|",$A353)-1)),2)),IFERROR(VALUE(LEFT(LOWER(LEFT($A353,FIND("|",$A353)-1)),1)),-1))),"000000")&amp;MID(LOWER(LEFT($A353,FIND("|",$A353)-1)),LEN(TEXT(IFERROR(VALUE(LEFT(LOWER(LEFT($A353,FIND("|",$A353)-1)),3)),IFERROR(VALUE(LEFT(LOWER(LEFT($A353,FIND("|",$A353)-1)),2)),IFERROR(VALUE(LEFT(LOWER(LEFT($A353,FIND("|",$A353)-1)),1)),-1))),"0"))+1,99),LOWER(LEFT($A353,FIND("|",$A353)-1)))&amp;CHAR(9)&amp;TEXT(IF(SUBSTITUTE(MID($A353,FIND("|",$A353)+1,50),"'","")="",0,IFERROR(VALUE(SUBSTITUTE(MID($A353,FIND("|",$A353)+1,50),"'","")),999999)),"000000")&amp;CHAR(9)&amp;TEXT($B353,"0000"))</f>
        <v/>
      </c>
      <c r="E353" s="4">
        <f>IF($D353="","",SUMPRODUCT(($D$5:$D$364&lt;&gt;"")*($D$5:$D$364&lt;$D353))+1)</f>
        <v/>
      </c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70">
      <c r="A354" s="4">
        <f t="array" ref="A354">IF(N(INDIRECT("'Pull Sheet'!AG56"))&gt;0,INDIRECT("'Pull Sheet'!AE56")&amp;"|"&amp;INDIRECT("'Pull Sheet'!AF56"),"")</f>
        <v/>
      </c>
      <c r="B354" s="4">
        <f>IF(AND($A354&lt;&gt;"",COUNTIF($A$5:$A354,$A354)=1),MAX($B$4:$B353)+1,"")</f>
        <v/>
      </c>
      <c r="C354" s="4">
        <f t="array" ref="C354">IF($A354="","",N(INDIRECT("'Pull Sheet'!AG56")))</f>
        <v/>
      </c>
      <c r="D354" s="4">
        <f>IF($B354="","",IF(IFERROR(VALUE(LEFT(LOWER(LEFT($A354,FIND("|",$A354)-1)),3)),IFERROR(VALUE(LEFT(LOWER(LEFT($A354,FIND("|",$A354)-1)),2)),IFERROR(VALUE(LEFT(LOWER(LEFT($A354,FIND("|",$A354)-1)),1)),-1)))&gt;=0,TEXT(IFERROR(VALUE(LEFT(LOWER(LEFT($A354,FIND("|",$A354)-1)),3)),IFERROR(VALUE(LEFT(LOWER(LEFT($A354,FIND("|",$A354)-1)),2)),IFERROR(VALUE(LEFT(LOWER(LEFT($A354,FIND("|",$A354)-1)),1)),-1))),"000000")&amp;MID(LOWER(LEFT($A354,FIND("|",$A354)-1)),LEN(TEXT(IFERROR(VALUE(LEFT(LOWER(LEFT($A354,FIND("|",$A354)-1)),3)),IFERROR(VALUE(LEFT(LOWER(LEFT($A354,FIND("|",$A354)-1)),2)),IFERROR(VALUE(LEFT(LOWER(LEFT($A354,FIND("|",$A354)-1)),1)),-1))),"0"))+1,99),LOWER(LEFT($A354,FIND("|",$A354)-1)))&amp;CHAR(9)&amp;TEXT(IF(SUBSTITUTE(MID($A354,FIND("|",$A354)+1,50),"'","")="",0,IFERROR(VALUE(SUBSTITUTE(MID($A354,FIND("|",$A354)+1,50),"'","")),999999)),"000000")&amp;CHAR(9)&amp;TEXT($B354,"0000"))</f>
        <v/>
      </c>
      <c r="E354" s="4">
        <f>IF($D354="","",SUMPRODUCT(($D$5:$D$364&lt;&gt;"")*($D$5:$D$364&lt;$D354))+1)</f>
        <v/>
      </c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70">
      <c r="A355" s="4">
        <f t="array" ref="A355">IF(N(INDIRECT("'Pull Sheet'!AG57"))&gt;0,INDIRECT("'Pull Sheet'!AE57")&amp;"|"&amp;INDIRECT("'Pull Sheet'!AF57"),"")</f>
        <v/>
      </c>
      <c r="B355" s="4">
        <f>IF(AND($A355&lt;&gt;"",COUNTIF($A$5:$A355,$A355)=1),MAX($B$4:$B354)+1,"")</f>
        <v/>
      </c>
      <c r="C355" s="4">
        <f t="array" ref="C355">IF($A355="","",N(INDIRECT("'Pull Sheet'!AG57")))</f>
        <v/>
      </c>
      <c r="D355" s="4">
        <f>IF($B355="","",IF(IFERROR(VALUE(LEFT(LOWER(LEFT($A355,FIND("|",$A355)-1)),3)),IFERROR(VALUE(LEFT(LOWER(LEFT($A355,FIND("|",$A355)-1)),2)),IFERROR(VALUE(LEFT(LOWER(LEFT($A355,FIND("|",$A355)-1)),1)),-1)))&gt;=0,TEXT(IFERROR(VALUE(LEFT(LOWER(LEFT($A355,FIND("|",$A355)-1)),3)),IFERROR(VALUE(LEFT(LOWER(LEFT($A355,FIND("|",$A355)-1)),2)),IFERROR(VALUE(LEFT(LOWER(LEFT($A355,FIND("|",$A355)-1)),1)),-1))),"000000")&amp;MID(LOWER(LEFT($A355,FIND("|",$A355)-1)),LEN(TEXT(IFERROR(VALUE(LEFT(LOWER(LEFT($A355,FIND("|",$A355)-1)),3)),IFERROR(VALUE(LEFT(LOWER(LEFT($A355,FIND("|",$A355)-1)),2)),IFERROR(VALUE(LEFT(LOWER(LEFT($A355,FIND("|",$A355)-1)),1)),-1))),"0"))+1,99),LOWER(LEFT($A355,FIND("|",$A355)-1)))&amp;CHAR(9)&amp;TEXT(IF(SUBSTITUTE(MID($A355,FIND("|",$A355)+1,50),"'","")="",0,IFERROR(VALUE(SUBSTITUTE(MID($A355,FIND("|",$A355)+1,50),"'","")),999999)),"000000")&amp;CHAR(9)&amp;TEXT($B355,"0000"))</f>
        <v/>
      </c>
      <c r="E355" s="4">
        <f>IF($D355="","",SUMPRODUCT(($D$5:$D$364&lt;&gt;"")*($D$5:$D$364&lt;$D355))+1)</f>
        <v/>
      </c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70">
      <c r="A356" s="4">
        <f t="array" ref="A356">IF(N(INDIRECT("'Pull Sheet'!AG58"))&gt;0,INDIRECT("'Pull Sheet'!AE58")&amp;"|"&amp;INDIRECT("'Pull Sheet'!AF58"),"")</f>
        <v/>
      </c>
      <c r="B356" s="4">
        <f>IF(AND($A356&lt;&gt;"",COUNTIF($A$5:$A356,$A356)=1),MAX($B$4:$B355)+1,"")</f>
        <v/>
      </c>
      <c r="C356" s="4">
        <f t="array" ref="C356">IF($A356="","",N(INDIRECT("'Pull Sheet'!AG58")))</f>
        <v/>
      </c>
      <c r="D356" s="4">
        <f>IF($B356="","",IF(IFERROR(VALUE(LEFT(LOWER(LEFT($A356,FIND("|",$A356)-1)),3)),IFERROR(VALUE(LEFT(LOWER(LEFT($A356,FIND("|",$A356)-1)),2)),IFERROR(VALUE(LEFT(LOWER(LEFT($A356,FIND("|",$A356)-1)),1)),-1)))&gt;=0,TEXT(IFERROR(VALUE(LEFT(LOWER(LEFT($A356,FIND("|",$A356)-1)),3)),IFERROR(VALUE(LEFT(LOWER(LEFT($A356,FIND("|",$A356)-1)),2)),IFERROR(VALUE(LEFT(LOWER(LEFT($A356,FIND("|",$A356)-1)),1)),-1))),"000000")&amp;MID(LOWER(LEFT($A356,FIND("|",$A356)-1)),LEN(TEXT(IFERROR(VALUE(LEFT(LOWER(LEFT($A356,FIND("|",$A356)-1)),3)),IFERROR(VALUE(LEFT(LOWER(LEFT($A356,FIND("|",$A356)-1)),2)),IFERROR(VALUE(LEFT(LOWER(LEFT($A356,FIND("|",$A356)-1)),1)),-1))),"0"))+1,99),LOWER(LEFT($A356,FIND("|",$A356)-1)))&amp;CHAR(9)&amp;TEXT(IF(SUBSTITUTE(MID($A356,FIND("|",$A356)+1,50),"'","")="",0,IFERROR(VALUE(SUBSTITUTE(MID($A356,FIND("|",$A356)+1,50),"'","")),999999)),"000000")&amp;CHAR(9)&amp;TEXT($B356,"0000"))</f>
        <v/>
      </c>
      <c r="E356" s="4">
        <f>IF($D356="","",SUMPRODUCT(($D$5:$D$364&lt;&gt;"")*($D$5:$D$364&lt;$D356))+1)</f>
        <v/>
      </c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70">
      <c r="A357" s="4">
        <f t="array" ref="A357">IF(N(INDIRECT("'Pull Sheet'!AG59"))&gt;0,INDIRECT("'Pull Sheet'!AE59")&amp;"|"&amp;INDIRECT("'Pull Sheet'!AF59"),"")</f>
        <v/>
      </c>
      <c r="B357" s="4">
        <f>IF(AND($A357&lt;&gt;"",COUNTIF($A$5:$A357,$A357)=1),MAX($B$4:$B356)+1,"")</f>
        <v/>
      </c>
      <c r="C357" s="4">
        <f t="array" ref="C357">IF($A357="","",N(INDIRECT("'Pull Sheet'!AG59")))</f>
        <v/>
      </c>
      <c r="D357" s="4">
        <f>IF($B357="","",IF(IFERROR(VALUE(LEFT(LOWER(LEFT($A357,FIND("|",$A357)-1)),3)),IFERROR(VALUE(LEFT(LOWER(LEFT($A357,FIND("|",$A357)-1)),2)),IFERROR(VALUE(LEFT(LOWER(LEFT($A357,FIND("|",$A357)-1)),1)),-1)))&gt;=0,TEXT(IFERROR(VALUE(LEFT(LOWER(LEFT($A357,FIND("|",$A357)-1)),3)),IFERROR(VALUE(LEFT(LOWER(LEFT($A357,FIND("|",$A357)-1)),2)),IFERROR(VALUE(LEFT(LOWER(LEFT($A357,FIND("|",$A357)-1)),1)),-1))),"000000")&amp;MID(LOWER(LEFT($A357,FIND("|",$A357)-1)),LEN(TEXT(IFERROR(VALUE(LEFT(LOWER(LEFT($A357,FIND("|",$A357)-1)),3)),IFERROR(VALUE(LEFT(LOWER(LEFT($A357,FIND("|",$A357)-1)),2)),IFERROR(VALUE(LEFT(LOWER(LEFT($A357,FIND("|",$A357)-1)),1)),-1))),"0"))+1,99),LOWER(LEFT($A357,FIND("|",$A357)-1)))&amp;CHAR(9)&amp;TEXT(IF(SUBSTITUTE(MID($A357,FIND("|",$A357)+1,50),"'","")="",0,IFERROR(VALUE(SUBSTITUTE(MID($A357,FIND("|",$A357)+1,50),"'","")),999999)),"000000")&amp;CHAR(9)&amp;TEXT($B357,"0000"))</f>
        <v/>
      </c>
      <c r="E357" s="4">
        <f>IF($D357="","",SUMPRODUCT(($D$5:$D$364&lt;&gt;"")*($D$5:$D$364&lt;$D357))+1)</f>
        <v/>
      </c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70">
      <c r="A358" s="4">
        <f t="array" ref="A358">IF(N(INDIRECT("'Pull Sheet'!AG60"))&gt;0,INDIRECT("'Pull Sheet'!AE60")&amp;"|"&amp;INDIRECT("'Pull Sheet'!AF60"),"")</f>
        <v/>
      </c>
      <c r="B358" s="4">
        <f>IF(AND($A358&lt;&gt;"",COUNTIF($A$5:$A358,$A358)=1),MAX($B$4:$B357)+1,"")</f>
        <v/>
      </c>
      <c r="C358" s="4">
        <f t="array" ref="C358">IF($A358="","",N(INDIRECT("'Pull Sheet'!AG60")))</f>
        <v/>
      </c>
      <c r="D358" s="4">
        <f>IF($B358="","",IF(IFERROR(VALUE(LEFT(LOWER(LEFT($A358,FIND("|",$A358)-1)),3)),IFERROR(VALUE(LEFT(LOWER(LEFT($A358,FIND("|",$A358)-1)),2)),IFERROR(VALUE(LEFT(LOWER(LEFT($A358,FIND("|",$A358)-1)),1)),-1)))&gt;=0,TEXT(IFERROR(VALUE(LEFT(LOWER(LEFT($A358,FIND("|",$A358)-1)),3)),IFERROR(VALUE(LEFT(LOWER(LEFT($A358,FIND("|",$A358)-1)),2)),IFERROR(VALUE(LEFT(LOWER(LEFT($A358,FIND("|",$A358)-1)),1)),-1))),"000000")&amp;MID(LOWER(LEFT($A358,FIND("|",$A358)-1)),LEN(TEXT(IFERROR(VALUE(LEFT(LOWER(LEFT($A358,FIND("|",$A358)-1)),3)),IFERROR(VALUE(LEFT(LOWER(LEFT($A358,FIND("|",$A358)-1)),2)),IFERROR(VALUE(LEFT(LOWER(LEFT($A358,FIND("|",$A358)-1)),1)),-1))),"0"))+1,99),LOWER(LEFT($A358,FIND("|",$A358)-1)))&amp;CHAR(9)&amp;TEXT(IF(SUBSTITUTE(MID($A358,FIND("|",$A358)+1,50),"'","")="",0,IFERROR(VALUE(SUBSTITUTE(MID($A358,FIND("|",$A358)+1,50),"'","")),999999)),"000000")&amp;CHAR(9)&amp;TEXT($B358,"0000"))</f>
        <v/>
      </c>
      <c r="E358" s="4">
        <f>IF($D358="","",SUMPRODUCT(($D$5:$D$364&lt;&gt;"")*($D$5:$D$364&lt;$D358))+1)</f>
        <v/>
      </c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70">
      <c r="A359" s="4">
        <f t="array" ref="A359">IF(N(INDIRECT("'Pull Sheet'!AG61"))&gt;0,INDIRECT("'Pull Sheet'!AE61")&amp;"|"&amp;INDIRECT("'Pull Sheet'!AF61"),"")</f>
        <v/>
      </c>
      <c r="B359" s="4">
        <f>IF(AND($A359&lt;&gt;"",COUNTIF($A$5:$A359,$A359)=1),MAX($B$4:$B358)+1,"")</f>
        <v/>
      </c>
      <c r="C359" s="4">
        <f t="array" ref="C359">IF($A359="","",N(INDIRECT("'Pull Sheet'!AG61")))</f>
        <v/>
      </c>
      <c r="D359" s="4">
        <f>IF($B359="","",IF(IFERROR(VALUE(LEFT(LOWER(LEFT($A359,FIND("|",$A359)-1)),3)),IFERROR(VALUE(LEFT(LOWER(LEFT($A359,FIND("|",$A359)-1)),2)),IFERROR(VALUE(LEFT(LOWER(LEFT($A359,FIND("|",$A359)-1)),1)),-1)))&gt;=0,TEXT(IFERROR(VALUE(LEFT(LOWER(LEFT($A359,FIND("|",$A359)-1)),3)),IFERROR(VALUE(LEFT(LOWER(LEFT($A359,FIND("|",$A359)-1)),2)),IFERROR(VALUE(LEFT(LOWER(LEFT($A359,FIND("|",$A359)-1)),1)),-1))),"000000")&amp;MID(LOWER(LEFT($A359,FIND("|",$A359)-1)),LEN(TEXT(IFERROR(VALUE(LEFT(LOWER(LEFT($A359,FIND("|",$A359)-1)),3)),IFERROR(VALUE(LEFT(LOWER(LEFT($A359,FIND("|",$A359)-1)),2)),IFERROR(VALUE(LEFT(LOWER(LEFT($A359,FIND("|",$A359)-1)),1)),-1))),"0"))+1,99),LOWER(LEFT($A359,FIND("|",$A359)-1)))&amp;CHAR(9)&amp;TEXT(IF(SUBSTITUTE(MID($A359,FIND("|",$A359)+1,50),"'","")="",0,IFERROR(VALUE(SUBSTITUTE(MID($A359,FIND("|",$A359)+1,50),"'","")),999999)),"000000")&amp;CHAR(9)&amp;TEXT($B359,"0000"))</f>
        <v/>
      </c>
      <c r="E359" s="4">
        <f>IF($D359="","",SUMPRODUCT(($D$5:$D$364&lt;&gt;"")*($D$5:$D$364&lt;$D359))+1)</f>
        <v/>
      </c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70">
      <c r="A360" s="4">
        <f t="array" ref="A360">IF(N(INDIRECT("'Pull Sheet'!AG62"))&gt;0,INDIRECT("'Pull Sheet'!AE62")&amp;"|"&amp;INDIRECT("'Pull Sheet'!AF62"),"")</f>
        <v/>
      </c>
      <c r="B360" s="4">
        <f>IF(AND($A360&lt;&gt;"",COUNTIF($A$5:$A360,$A360)=1),MAX($B$4:$B359)+1,"")</f>
        <v/>
      </c>
      <c r="C360" s="4">
        <f t="array" ref="C360">IF($A360="","",N(INDIRECT("'Pull Sheet'!AG62")))</f>
        <v/>
      </c>
      <c r="D360" s="4">
        <f>IF($B360="","",IF(IFERROR(VALUE(LEFT(LOWER(LEFT($A360,FIND("|",$A360)-1)),3)),IFERROR(VALUE(LEFT(LOWER(LEFT($A360,FIND("|",$A360)-1)),2)),IFERROR(VALUE(LEFT(LOWER(LEFT($A360,FIND("|",$A360)-1)),1)),-1)))&gt;=0,TEXT(IFERROR(VALUE(LEFT(LOWER(LEFT($A360,FIND("|",$A360)-1)),3)),IFERROR(VALUE(LEFT(LOWER(LEFT($A360,FIND("|",$A360)-1)),2)),IFERROR(VALUE(LEFT(LOWER(LEFT($A360,FIND("|",$A360)-1)),1)),-1))),"000000")&amp;MID(LOWER(LEFT($A360,FIND("|",$A360)-1)),LEN(TEXT(IFERROR(VALUE(LEFT(LOWER(LEFT($A360,FIND("|",$A360)-1)),3)),IFERROR(VALUE(LEFT(LOWER(LEFT($A360,FIND("|",$A360)-1)),2)),IFERROR(VALUE(LEFT(LOWER(LEFT($A360,FIND("|",$A360)-1)),1)),-1))),"0"))+1,99),LOWER(LEFT($A360,FIND("|",$A360)-1)))&amp;CHAR(9)&amp;TEXT(IF(SUBSTITUTE(MID($A360,FIND("|",$A360)+1,50),"'","")="",0,IFERROR(VALUE(SUBSTITUTE(MID($A360,FIND("|",$A360)+1,50),"'","")),999999)),"000000")&amp;CHAR(9)&amp;TEXT($B360,"0000"))</f>
        <v/>
      </c>
      <c r="E360" s="4">
        <f>IF($D360="","",SUMPRODUCT(($D$5:$D$364&lt;&gt;"")*($D$5:$D$364&lt;$D360))+1)</f>
        <v/>
      </c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70">
      <c r="A361" s="4">
        <f t="array" ref="A361">IF(N(INDIRECT("'Pull Sheet'!AG63"))&gt;0,INDIRECT("'Pull Sheet'!AE63")&amp;"|"&amp;INDIRECT("'Pull Sheet'!AF63"),"")</f>
        <v/>
      </c>
      <c r="B361" s="4">
        <f>IF(AND($A361&lt;&gt;"",COUNTIF($A$5:$A361,$A361)=1),MAX($B$4:$B360)+1,"")</f>
        <v/>
      </c>
      <c r="C361" s="4">
        <f t="array" ref="C361">IF($A361="","",N(INDIRECT("'Pull Sheet'!AG63")))</f>
        <v/>
      </c>
      <c r="D361" s="4">
        <f>IF($B361="","",IF(IFERROR(VALUE(LEFT(LOWER(LEFT($A361,FIND("|",$A361)-1)),3)),IFERROR(VALUE(LEFT(LOWER(LEFT($A361,FIND("|",$A361)-1)),2)),IFERROR(VALUE(LEFT(LOWER(LEFT($A361,FIND("|",$A361)-1)),1)),-1)))&gt;=0,TEXT(IFERROR(VALUE(LEFT(LOWER(LEFT($A361,FIND("|",$A361)-1)),3)),IFERROR(VALUE(LEFT(LOWER(LEFT($A361,FIND("|",$A361)-1)),2)),IFERROR(VALUE(LEFT(LOWER(LEFT($A361,FIND("|",$A361)-1)),1)),-1))),"000000")&amp;MID(LOWER(LEFT($A361,FIND("|",$A361)-1)),LEN(TEXT(IFERROR(VALUE(LEFT(LOWER(LEFT($A361,FIND("|",$A361)-1)),3)),IFERROR(VALUE(LEFT(LOWER(LEFT($A361,FIND("|",$A361)-1)),2)),IFERROR(VALUE(LEFT(LOWER(LEFT($A361,FIND("|",$A361)-1)),1)),-1))),"0"))+1,99),LOWER(LEFT($A361,FIND("|",$A361)-1)))&amp;CHAR(9)&amp;TEXT(IF(SUBSTITUTE(MID($A361,FIND("|",$A361)+1,50),"'","")="",0,IFERROR(VALUE(SUBSTITUTE(MID($A361,FIND("|",$A361)+1,50),"'","")),999999)),"000000")&amp;CHAR(9)&amp;TEXT($B361,"0000"))</f>
        <v/>
      </c>
      <c r="E361" s="4">
        <f>IF($D361="","",SUMPRODUCT(($D$5:$D$364&lt;&gt;"")*($D$5:$D$364&lt;$D361))+1)</f>
        <v/>
      </c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70">
      <c r="A362" s="4">
        <f t="array" ref="A362">IF(N(INDIRECT("'Pull Sheet'!AG64"))&gt;0,INDIRECT("'Pull Sheet'!AE64")&amp;"|"&amp;INDIRECT("'Pull Sheet'!AF64"),"")</f>
        <v/>
      </c>
      <c r="B362" s="4">
        <f>IF(AND($A362&lt;&gt;"",COUNTIF($A$5:$A362,$A362)=1),MAX($B$4:$B361)+1,"")</f>
        <v/>
      </c>
      <c r="C362" s="4">
        <f t="array" ref="C362">IF($A362="","",N(INDIRECT("'Pull Sheet'!AG64")))</f>
        <v/>
      </c>
      <c r="D362" s="4">
        <f>IF($B362="","",IF(IFERROR(VALUE(LEFT(LOWER(LEFT($A362,FIND("|",$A362)-1)),3)),IFERROR(VALUE(LEFT(LOWER(LEFT($A362,FIND("|",$A362)-1)),2)),IFERROR(VALUE(LEFT(LOWER(LEFT($A362,FIND("|",$A362)-1)),1)),-1)))&gt;=0,TEXT(IFERROR(VALUE(LEFT(LOWER(LEFT($A362,FIND("|",$A362)-1)),3)),IFERROR(VALUE(LEFT(LOWER(LEFT($A362,FIND("|",$A362)-1)),2)),IFERROR(VALUE(LEFT(LOWER(LEFT($A362,FIND("|",$A362)-1)),1)),-1))),"000000")&amp;MID(LOWER(LEFT($A362,FIND("|",$A362)-1)),LEN(TEXT(IFERROR(VALUE(LEFT(LOWER(LEFT($A362,FIND("|",$A362)-1)),3)),IFERROR(VALUE(LEFT(LOWER(LEFT($A362,FIND("|",$A362)-1)),2)),IFERROR(VALUE(LEFT(LOWER(LEFT($A362,FIND("|",$A362)-1)),1)),-1))),"0"))+1,99),LOWER(LEFT($A362,FIND("|",$A362)-1)))&amp;CHAR(9)&amp;TEXT(IF(SUBSTITUTE(MID($A362,FIND("|",$A362)+1,50),"'","")="",0,IFERROR(VALUE(SUBSTITUTE(MID($A362,FIND("|",$A362)+1,50),"'","")),999999)),"000000")&amp;CHAR(9)&amp;TEXT($B362,"0000"))</f>
        <v/>
      </c>
      <c r="E362" s="4">
        <f>IF($D362="","",SUMPRODUCT(($D$5:$D$364&lt;&gt;"")*($D$5:$D$364&lt;$D362))+1)</f>
        <v/>
      </c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70">
      <c r="A363" s="4">
        <f t="array" ref="A363">IF(N(INDIRECT("'Pull Sheet'!AG65"))&gt;0,INDIRECT("'Pull Sheet'!AE65")&amp;"|"&amp;INDIRECT("'Pull Sheet'!AF65"),"")</f>
        <v/>
      </c>
      <c r="B363" s="4">
        <f>IF(AND($A363&lt;&gt;"",COUNTIF($A$5:$A363,$A363)=1),MAX($B$4:$B362)+1,"")</f>
        <v/>
      </c>
      <c r="C363" s="4">
        <f t="array" ref="C363">IF($A363="","",N(INDIRECT("'Pull Sheet'!AG65")))</f>
        <v/>
      </c>
      <c r="D363" s="4">
        <f>IF($B363="","",IF(IFERROR(VALUE(LEFT(LOWER(LEFT($A363,FIND("|",$A363)-1)),3)),IFERROR(VALUE(LEFT(LOWER(LEFT($A363,FIND("|",$A363)-1)),2)),IFERROR(VALUE(LEFT(LOWER(LEFT($A363,FIND("|",$A363)-1)),1)),-1)))&gt;=0,TEXT(IFERROR(VALUE(LEFT(LOWER(LEFT($A363,FIND("|",$A363)-1)),3)),IFERROR(VALUE(LEFT(LOWER(LEFT($A363,FIND("|",$A363)-1)),2)),IFERROR(VALUE(LEFT(LOWER(LEFT($A363,FIND("|",$A363)-1)),1)),-1))),"000000")&amp;MID(LOWER(LEFT($A363,FIND("|",$A363)-1)),LEN(TEXT(IFERROR(VALUE(LEFT(LOWER(LEFT($A363,FIND("|",$A363)-1)),3)),IFERROR(VALUE(LEFT(LOWER(LEFT($A363,FIND("|",$A363)-1)),2)),IFERROR(VALUE(LEFT(LOWER(LEFT($A363,FIND("|",$A363)-1)),1)),-1))),"0"))+1,99),LOWER(LEFT($A363,FIND("|",$A363)-1)))&amp;CHAR(9)&amp;TEXT(IF(SUBSTITUTE(MID($A363,FIND("|",$A363)+1,50),"'","")="",0,IFERROR(VALUE(SUBSTITUTE(MID($A363,FIND("|",$A363)+1,50),"'","")),999999)),"000000")&amp;CHAR(9)&amp;TEXT($B363,"0000"))</f>
        <v/>
      </c>
      <c r="E363" s="4">
        <f>IF($D363="","",SUMPRODUCT(($D$5:$D$364&lt;&gt;"")*($D$5:$D$364&lt;$D363))+1)</f>
        <v/>
      </c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70">
      <c r="A364" s="4">
        <f t="array" ref="A364">IF(N(INDIRECT("'Pull Sheet'!AG66"))&gt;0,INDIRECT("'Pull Sheet'!AE66")&amp;"|"&amp;INDIRECT("'Pull Sheet'!AF66"),"")</f>
        <v/>
      </c>
      <c r="B364" s="4">
        <f>IF(AND($A364&lt;&gt;"",COUNTIF($A$5:$A364,$A364)=1),MAX($B$4:$B363)+1,"")</f>
        <v/>
      </c>
      <c r="C364" s="4">
        <f t="array" ref="C364">IF($A364="","",N(INDIRECT("'Pull Sheet'!AG66")))</f>
        <v/>
      </c>
      <c r="D364" s="4">
        <f>IF($B364="","",IF(IFERROR(VALUE(LEFT(LOWER(LEFT($A364,FIND("|",$A364)-1)),3)),IFERROR(VALUE(LEFT(LOWER(LEFT($A364,FIND("|",$A364)-1)),2)),IFERROR(VALUE(LEFT(LOWER(LEFT($A364,FIND("|",$A364)-1)),1)),-1)))&gt;=0,TEXT(IFERROR(VALUE(LEFT(LOWER(LEFT($A364,FIND("|",$A364)-1)),3)),IFERROR(VALUE(LEFT(LOWER(LEFT($A364,FIND("|",$A364)-1)),2)),IFERROR(VALUE(LEFT(LOWER(LEFT($A364,FIND("|",$A364)-1)),1)),-1))),"000000")&amp;MID(LOWER(LEFT($A364,FIND("|",$A364)-1)),LEN(TEXT(IFERROR(VALUE(LEFT(LOWER(LEFT($A364,FIND("|",$A364)-1)),3)),IFERROR(VALUE(LEFT(LOWER(LEFT($A364,FIND("|",$A364)-1)),2)),IFERROR(VALUE(LEFT(LOWER(LEFT($A364,FIND("|",$A364)-1)),1)),-1))),"0"))+1,99),LOWER(LEFT($A364,FIND("|",$A364)-1)))&amp;CHAR(9)&amp;TEXT(IF(SUBSTITUTE(MID($A364,FIND("|",$A364)+1,50),"'","")="",0,IFERROR(VALUE(SUBSTITUTE(MID($A364,FIND("|",$A364)+1,50),"'","")),999999)),"000000")&amp;CHAR(9)&amp;TEXT($B364,"0000"))</f>
        <v/>
      </c>
      <c r="E364" s="4">
        <f>IF($D364="","",SUMPRODUCT(($D$5:$D$364&lt;&gt;"")*($D$5:$D$364&lt;$D364))+1)</f>
        <v/>
      </c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7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7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7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7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7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7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7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7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7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7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7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7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7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7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7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7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7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7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7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7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7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7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7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7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7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7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7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7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7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7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7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7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7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7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7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7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7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7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7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7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7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7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7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7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7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7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7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7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7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7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7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7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7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7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7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7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7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7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7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7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7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7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7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7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7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7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7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7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7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7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7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7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7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7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7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7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7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7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7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7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7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7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7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7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7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7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7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7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7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7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7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7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7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7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7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7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7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7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7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7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7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7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7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7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7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7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7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7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7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7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7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7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7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7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7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7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7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7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7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7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7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7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7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7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7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7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7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7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7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7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7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7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7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7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7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7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7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7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7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7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7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7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7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7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7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7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7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7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7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7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7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7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7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7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7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7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7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7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7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7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7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7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7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7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7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7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7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7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7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7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7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7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7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7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7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7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7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7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7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7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7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7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7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7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7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7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7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7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7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7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7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7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7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7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7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7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7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7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7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7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7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7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7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7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7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7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7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7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7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7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7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7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7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7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7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7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7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7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7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7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7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7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7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7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7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7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7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7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7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7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7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7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7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7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7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7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7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7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7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7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7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7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7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7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7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7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7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7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7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7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7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7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7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7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7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7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7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7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7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7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7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7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7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7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7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7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7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7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7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7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7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7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7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7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7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7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7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7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7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7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7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7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7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7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7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7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7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7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7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7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7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7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7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7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7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7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7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7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7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7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7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7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7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7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7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7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7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7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7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7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7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7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7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7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7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7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7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7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7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7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7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7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7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7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7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7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7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7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7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7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7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7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7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7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7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7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7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7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7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7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7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7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7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7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7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7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7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7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7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7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7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7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7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7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7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7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7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7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7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7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7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7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7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7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7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7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7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7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7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7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7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7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7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7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7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7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7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7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7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7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7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7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7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7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7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7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7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7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7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7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7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7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7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7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7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7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7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7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7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7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7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7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7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7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7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7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7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7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7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7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7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7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7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7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7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7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7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7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7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7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7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7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7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7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7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7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7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7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7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7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7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7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7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7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7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7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7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7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7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7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7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7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7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7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7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7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7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7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7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7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7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7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7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7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7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7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7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7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7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7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7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7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7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7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7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7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7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7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7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7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7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7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7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7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7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7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7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7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7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7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7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7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7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7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7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7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7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7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7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7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7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7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7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7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7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7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7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7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7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7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7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7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7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7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7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7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7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7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7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7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7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7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7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7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7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7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7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7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7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7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7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7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7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7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7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7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7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7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7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7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7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7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7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7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7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7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7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7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7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7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7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7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7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7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7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7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7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7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7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7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7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7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7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7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7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7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7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7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7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7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7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7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7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7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7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7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7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7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7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7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7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7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7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7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7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7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7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7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7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7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7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7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7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7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7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7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7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7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7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7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7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7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7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7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7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7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7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7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7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7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7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7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7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7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7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7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7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7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7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7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7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7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7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7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7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7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7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7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7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7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7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7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7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7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7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7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7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7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7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2026-09-06T23:56:49Z</dcterms:created>
  <dcterms:modified xsi:type="dcterms:W3CDTF">2026-09-06T23:56:50Z</dcterms:modified>
</cp:coreProperties>
</file>